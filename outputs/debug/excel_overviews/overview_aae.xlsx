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SR-Overview" sheetId="1" state="visible" r:id="rId1"/>
    <sheet name="AASR-Overview" sheetId="2" state="visible" r:id="rId2"/>
    <sheet name="FR-Overview" sheetId="3" state="visible" r:id="rId3"/>
    <sheet name="CR-Overview" sheetId="4" state="visible" r:id="rId4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<sst xmlns="http://schemas.openxmlformats.org/spreadsheetml/2006/main" count="369" uniqueCount="369">
  <si>
    <t xml:space="preserve">Judge Model</t>
  </si>
  <si>
    <t>vs_Llama-2-7b-chat-hf</t>
  </si>
  <si>
    <t>vs_Llama-3.1-8B-Instruct</t>
  </si>
  <si>
    <t>vs_Mistral-7B-Instruct-v0.2</t>
  </si>
  <si>
    <t>vs_Qwen2-0.5B-Instruct</t>
  </si>
  <si>
    <t>vs_Qwen2-7B-Instruct</t>
  </si>
  <si>
    <t>vs_Qwen2.5-3B-Instruct</t>
  </si>
  <si>
    <t>vs_gemini-1.5-flash</t>
  </si>
  <si>
    <t>vs_gpt-4.1_errors</t>
  </si>
  <si>
    <t xml:space="preserve">Avg ASR</t>
  </si>
  <si>
    <t>claude-opus-4-5-20251101</t>
  </si>
  <si>
    <t xml:space="preserve">ASR: 0.28
V1: 127 V2: 2 Vties: 12</t>
  </si>
  <si>
    <t xml:space="preserve">ASR: 0.41
V1: 75 V2: 22 Vties: 42</t>
  </si>
  <si>
    <t xml:space="preserve">ASR: 0.43
V1: 84 V2: 12 Vties: 42</t>
  </si>
  <si>
    <t xml:space="preserve">ASR: 0.07
V1: 140 V2: 0 Vties: 1</t>
  </si>
  <si>
    <t xml:space="preserve">ASR: 0.49
V1: 67 V2: 40 Vties: 32</t>
  </si>
  <si>
    <t xml:space="preserve">ASR: 0.41
V1: 120 V2: 3 Vties: 15</t>
  </si>
  <si>
    <t xml:space="preserve">ASR: 0.59
V1: 70 V2: 19 Vties: 52</t>
  </si>
  <si>
    <t xml:space="preserve">ASR: 0.15
V1: 141 V2: 1 Vties: 0</t>
  </si>
  <si>
    <t>gemini-2.5-pro</t>
  </si>
  <si>
    <t xml:space="preserve">ASR: 0.26
V1: 133 V2: 4 Vties: 5</t>
  </si>
  <si>
    <t xml:space="preserve">ASR: 0.50
V1: 90 V2: 26 Vties: 26</t>
  </si>
  <si>
    <t xml:space="preserve">ASR: 0.58
V1: 102 V2: 14 Vties: 26</t>
  </si>
  <si>
    <t xml:space="preserve">ASR: 0.09
V1: 142 V2: 0 Vties: 0</t>
  </si>
  <si>
    <t xml:space="preserve">ASR: 0.67
V1: 66 V2: 47 Vties: 29</t>
  </si>
  <si>
    <t xml:space="preserve">ASR: 0.38
V1: 125 V2: 6 Vties: 11</t>
  </si>
  <si>
    <t xml:space="preserve">ASR: 0.66
V1: 79 V2: 28 Vties: 35</t>
  </si>
  <si>
    <t xml:space="preserve">ASR: 0.19
V1: 139 V2: 0 Vties: 3</t>
  </si>
  <si>
    <t>gemini-2.5-flash</t>
  </si>
  <si>
    <t xml:space="preserve">ASR: 0.36
V1: 133 V2: 6 Vties: 3</t>
  </si>
  <si>
    <t xml:space="preserve">ASR: 0.59
V1: 94 V2: 36 Vties: 12</t>
  </si>
  <si>
    <t xml:space="preserve">ASR: 0.62
V1: 112 V2: 23 Vties: 7</t>
  </si>
  <si>
    <t xml:space="preserve">ASR: 0.09
V1: 141 V2: 0 Vties: 1</t>
  </si>
  <si>
    <t xml:space="preserve">ASR: 0.60
V1: 78 V2: 58 Vties: 6</t>
  </si>
  <si>
    <t xml:space="preserve">ASR: 0.29
V1: 41 V2: 43 Vties: 58</t>
  </si>
  <si>
    <t xml:space="preserve">ASR: 0.74
V1: 92 V2: 43 Vties: 7</t>
  </si>
  <si>
    <t xml:space="preserve">ASR: 0.29
V1: 140 V2: 1 Vties: 1</t>
  </si>
  <si>
    <t>claude-haiku-4-5-20251001</t>
  </si>
  <si>
    <t xml:space="preserve">ASR: 0.59
V1: 134 V2: 5 Vties: 3</t>
  </si>
  <si>
    <t xml:space="preserve">ASR: 0.68
V1: 96 V2: 37 Vties: 9</t>
  </si>
  <si>
    <t xml:space="preserve">ASR: 0.73
V1: 104 V2: 23 Vties: 15</t>
  </si>
  <si>
    <t xml:space="preserve">ASR: 0.16
V1: 140 V2: 0 Vties: 2</t>
  </si>
  <si>
    <t xml:space="preserve">ASR: 0.81
V1: 75 V2: 57 Vties: 10</t>
  </si>
  <si>
    <t xml:space="preserve">ASR: 0.68
V1: 128 V2: 12 Vties: 2</t>
  </si>
  <si>
    <t xml:space="preserve">ASR: 0.90
V1: 84 V2: 43 Vties: 15</t>
  </si>
  <si>
    <t xml:space="preserve">ASR: 0.47
V1: 139 V2: 2 Vties: 0</t>
  </si>
  <si>
    <t>Qwen3-Next-80B-A3B-Instruct</t>
  </si>
  <si>
    <t xml:space="preserve">ASR: 0.57
V1: 133 V2: 3 Vties: 6</t>
  </si>
  <si>
    <t xml:space="preserve">ASR: 0.64
V1: 83 V2: 31 Vties: 26</t>
  </si>
  <si>
    <t xml:space="preserve">ASR: 0.71
V1: 96 V2: 23 Vties: 23</t>
  </si>
  <si>
    <t xml:space="preserve">ASR: 0.28
V1: 140 V2: 0 Vties: 2</t>
  </si>
  <si>
    <t xml:space="preserve">ASR: 0.76
V1: 59 V2: 64 Vties: 17</t>
  </si>
  <si>
    <t xml:space="preserve">ASR: 0.67
V1: 128 V2: 7 Vties: 7</t>
  </si>
  <si>
    <t xml:space="preserve">ASR: 0.91
V1: 95 V2: 24 Vties: 20</t>
  </si>
  <si>
    <t xml:space="preserve">ASR: 0.74
V1: 136 V2: 1 Vties: 5</t>
  </si>
  <si>
    <t>Llama-3.3-70B-Instruct</t>
  </si>
  <si>
    <t xml:space="preserve">ASR: 0.69
V1: 123 V2: 7 Vties: 12</t>
  </si>
  <si>
    <t xml:space="preserve">ASR: 0.88
V1: 41 V2: 57 Vties: 44</t>
  </si>
  <si>
    <t xml:space="preserve">ASR: 0.84
V1: 73 V2: 35 Vties: 34</t>
  </si>
  <si>
    <t xml:space="preserve">ASR: 0.41
V1: 133 V2: 3 Vties: 6</t>
  </si>
  <si>
    <t xml:space="preserve">ASR: 0.82
V1: 28 V2: 83 Vties: 31</t>
  </si>
  <si>
    <t xml:space="preserve">ASR: 0.63
V1: 115 V2: 12 Vties: 15</t>
  </si>
  <si>
    <t xml:space="preserve">ASR: 0.90
V1: 77 V2: 34 Vties: 31</t>
  </si>
  <si>
    <t xml:space="preserve">ASR: 0.65
V1: 107 V2: 2 Vties: 33</t>
  </si>
  <si>
    <t>Mistral-Small-3.2-24B-Instruct-2506</t>
  </si>
  <si>
    <t xml:space="preserve">ASR: 0.67
V1: 135 V2: 5 Vties: 2</t>
  </si>
  <si>
    <t xml:space="preserve">ASR: 0.89
V1: 88 V2: 31 Vties: 23</t>
  </si>
  <si>
    <t xml:space="preserve">ASR: 0.88
V1: 90 V2: 36 Vties: 16</t>
  </si>
  <si>
    <t xml:space="preserve">ASR: 0.24
V1: 140 V2: 1 Vties: 1</t>
  </si>
  <si>
    <t xml:space="preserve">ASR: 0.93
V1: 60 V2: 68 Vties: 14</t>
  </si>
  <si>
    <t xml:space="preserve">ASR: 0.71
V1: 123 V2: 15 Vties: 4</t>
  </si>
  <si>
    <t xml:space="preserve">ASR: 0.97
V1: 89 V2: 32 Vties: 21</t>
  </si>
  <si>
    <t xml:space="preserve">ASR: 0.82
V1: 125 V2: 8 Vties: 9</t>
  </si>
  <si>
    <t>Mistral-7B-Instruct-v0.3</t>
  </si>
  <si>
    <t xml:space="preserve">ASR: 0.76
V1: 107 V2: 11 Vties: 24</t>
  </si>
  <si>
    <t xml:space="preserve">ASR: 0.79
V1: 71 V2: 21 Vties: 50</t>
  </si>
  <si>
    <t xml:space="preserve">ASR: 0.85
V1: 65 V2: 34 Vties: 43</t>
  </si>
  <si>
    <t xml:space="preserve">ASR: 0.47
V1: 111 V2: 14 Vties: 17</t>
  </si>
  <si>
    <t xml:space="preserve">ASR: 0.83
V1: 47 V2: 50 Vties: 45</t>
  </si>
  <si>
    <t xml:space="preserve">ASR: 0.85
V1: 88 V2: 21 Vties: 33</t>
  </si>
  <si>
    <t xml:space="preserve">ASR: 0.72
V1: 39 V2: 26 Vties: 77</t>
  </si>
  <si>
    <t xml:space="preserve">ASR: 0.85
V1: 61 V2: 26 Vties: 54</t>
  </si>
  <si>
    <t>Llama-3.1-8B-Instruct</t>
  </si>
  <si>
    <t xml:space="preserve">ASR: 0.75
V1: 108 V2: 13 Vties: 14</t>
  </si>
  <si>
    <t xml:space="preserve">ASR: 0.90
V1: 80 V2: 39 Vties: 22</t>
  </si>
  <si>
    <t xml:space="preserve">ASR: 0.79
V1: 77 V2: 25 Vties: 33</t>
  </si>
  <si>
    <t xml:space="preserve">ASR: 0.49
V1: 123 V2: 7 Vties: 7</t>
  </si>
  <si>
    <t xml:space="preserve">ASR: 0.90
V1: 49 V2: 70 Vties: 19</t>
  </si>
  <si>
    <t xml:space="preserve">ASR: 0.80
V1: 101 V2: 21 Vties: 17</t>
  </si>
  <si>
    <t xml:space="preserve">ASR: 0.89
V1: 62 V2: 50 Vties: 22</t>
  </si>
  <si>
    <t xml:space="preserve">ASR: 0.83
V1: 103 V2: 11 Vties: 24</t>
  </si>
  <si>
    <t>Qwen3-4B-Instruct-2507</t>
  </si>
  <si>
    <t xml:space="preserve">ASR: 0.83
V1: 129 V2: 6 Vties: 7</t>
  </si>
  <si>
    <t xml:space="preserve">ASR: 0.81
V1: 85 V2: 33 Vties: 24</t>
  </si>
  <si>
    <t xml:space="preserve">ASR: 0.90
V1: 96 V2: 30 Vties: 16</t>
  </si>
  <si>
    <t xml:space="preserve">ASR: 0.41
V1: 136 V2: 3 Vties: 3</t>
  </si>
  <si>
    <t xml:space="preserve">ASR: 0.84
V1: 61 V2: 65 Vties: 16</t>
  </si>
  <si>
    <t xml:space="preserve">ASR: 0.84
V1: 117 V2: 13 Vties: 12</t>
  </si>
  <si>
    <t xml:space="preserve">ASR: 0.98
V1: 87 V2: 35 Vties: 20</t>
  </si>
  <si>
    <t xml:space="preserve">ASR: 0.83
V1: 101 V2: 1 Vties: 40</t>
  </si>
  <si>
    <t>phi-4</t>
  </si>
  <si>
    <t xml:space="preserve">ASR: 0.87
V1: 134 V2: 5 Vties: 3</t>
  </si>
  <si>
    <t xml:space="preserve">ASR: 0.95
V1: 98 V2: 36 Vties: 8</t>
  </si>
  <si>
    <t xml:space="preserve">ASR: 0.95
V1: 107 V2: 24 Vties: 11</t>
  </si>
  <si>
    <t xml:space="preserve">ASR: 0.41
V1: 138 V2: 1 Vties: 3</t>
  </si>
  <si>
    <t xml:space="preserve">ASR: 0.92
V1: 51 V2: 70 Vties: 21</t>
  </si>
  <si>
    <t xml:space="preserve">ASR: 0.84
V1: 124 V2: 12 Vties: 6</t>
  </si>
  <si>
    <t xml:space="preserve">ASR: 0.98
V1: 95 V2: 33 Vties: 14</t>
  </si>
  <si>
    <t xml:space="preserve">ASR: 0.85
V1: 130 V2: 2 Vties: 10</t>
  </si>
  <si>
    <t xml:space="preserve">AASR: 0.00
V1: 108 V2: 13 Vties: 14</t>
  </si>
  <si>
    <t xml:space="preserve">AASR: 0.05
V1: 80 V2: 39 Vties: 22</t>
  </si>
  <si>
    <t xml:space="preserve">AASR: 0.08
V1: 77 V2: 25 Vties: 33</t>
  </si>
  <si>
    <t xml:space="preserve">AASR: 0.00
V1: 123 V2: 7 Vties: 7</t>
  </si>
  <si>
    <t xml:space="preserve">AASR: 0.03
V1: 49 V2: 70 Vties: 19</t>
  </si>
  <si>
    <t xml:space="preserve">AASR: 0.05
V1: 101 V2: 21 Vties: 17</t>
  </si>
  <si>
    <t xml:space="preserve">AASR: 0.00
V1: 62 V2: 50 Vties: 22</t>
  </si>
  <si>
    <t xml:space="preserve">AASR: 0.00
V1: 103 V2: 11 Vties: 24</t>
  </si>
  <si>
    <t xml:space="preserve">AASR: 0.00
V1: 123 V2: 7 Vties: 12</t>
  </si>
  <si>
    <t xml:space="preserve">AASR: 0.00
V1: 41 V2: 57 Vties: 44</t>
  </si>
  <si>
    <t xml:space="preserve">AASR: 0.00
V1: 73 V2: 35 Vties: 34</t>
  </si>
  <si>
    <t xml:space="preserve">AASR: 0.00
V1: 133 V2: 3 Vties: 6</t>
  </si>
  <si>
    <t xml:space="preserve">AASR: 0.00
V1: 28 V2: 83 Vties: 31</t>
  </si>
  <si>
    <t xml:space="preserve">AASR: 0.00
V1: 115 V2: 12 Vties: 15</t>
  </si>
  <si>
    <t xml:space="preserve">AASR: 0.00
V1: 77 V2: 34 Vties: 31</t>
  </si>
  <si>
    <t xml:space="preserve">AASR: 0.00
V1: 107 V2: 2 Vties: 33</t>
  </si>
  <si>
    <t xml:space="preserve">AASR: 0.00
V1: 129 V2: 6 Vties: 7</t>
  </si>
  <si>
    <t xml:space="preserve">AASR: 0.00
V1: 85 V2: 33 Vties: 24</t>
  </si>
  <si>
    <t xml:space="preserve">AASR: 0.00
V1: 96 V2: 30 Vties: 16</t>
  </si>
  <si>
    <t xml:space="preserve">AASR: 0.00
V1: 136 V2: 3 Vties: 3</t>
  </si>
  <si>
    <t xml:space="preserve">AASR: 0.00
V1: 61 V2: 65 Vties: 16</t>
  </si>
  <si>
    <t xml:space="preserve">AASR: 0.00
V1: 117 V2: 13 Vties: 12</t>
  </si>
  <si>
    <t xml:space="preserve">AASR: 0.00
V1: 87 V2: 35 Vties: 20</t>
  </si>
  <si>
    <t xml:space="preserve">AASR: 0.00
V1: 101 V2: 1 Vties: 40</t>
  </si>
  <si>
    <t xml:space="preserve">AASR: 0.00
V1: 83 V2: 31 Vties: 26</t>
  </si>
  <si>
    <t xml:space="preserve">AASR: 0.00
V1: 96 V2: 23 Vties: 23</t>
  </si>
  <si>
    <t xml:space="preserve">AASR: 0.00
V1: 140 V2: 0 Vties: 2</t>
  </si>
  <si>
    <t xml:space="preserve">AASR: 0.00
V1: 59 V2: 64 Vties: 17</t>
  </si>
  <si>
    <t xml:space="preserve">AASR: 0.00
V1: 128 V2: 7 Vties: 7</t>
  </si>
  <si>
    <t xml:space="preserve">AASR: 0.00
V1: 95 V2: 24 Vties: 20</t>
  </si>
  <si>
    <t xml:space="preserve">AASR: 0.00
V1: 136 V2: 1 Vties: 5</t>
  </si>
  <si>
    <t xml:space="preserve">AASR: 0.00
V1: 107 V2: 11 Vties: 24</t>
  </si>
  <si>
    <t xml:space="preserve">AASR: 0.05
V1: 71 V2: 21 Vties: 50</t>
  </si>
  <si>
    <t xml:space="preserve">AASR: 0.00
V1: 65 V2: 34 Vties: 43</t>
  </si>
  <si>
    <t xml:space="preserve">AASR: 0.14
V1: 111 V2: 14 Vties: 17</t>
  </si>
  <si>
    <t xml:space="preserve">AASR: 0.02
V1: 47 V2: 50 Vties: 45</t>
  </si>
  <si>
    <t xml:space="preserve">AASR: 0.00
V1: 88 V2: 21 Vties: 33</t>
  </si>
  <si>
    <t xml:space="preserve">AASR: 0.04
V1: 39 V2: 26 Vties: 77</t>
  </si>
  <si>
    <t xml:space="preserve">AASR: 0.00
V1: 61 V2: 26 Vties: 54</t>
  </si>
  <si>
    <t xml:space="preserve">AASR: 0.00
V1: 135 V2: 5 Vties: 2</t>
  </si>
  <si>
    <t xml:space="preserve">AASR: 0.00
V1: 88 V2: 31 Vties: 23</t>
  </si>
  <si>
    <t xml:space="preserve">AASR: 0.00
V1: 90 V2: 36 Vties: 16</t>
  </si>
  <si>
    <t xml:space="preserve">AASR: 0.00
V1: 140 V2: 1 Vties: 1</t>
  </si>
  <si>
    <t xml:space="preserve">AASR: 0.00
V1: 60 V2: 68 Vties: 14</t>
  </si>
  <si>
    <t xml:space="preserve">AASR: 0.00
V1: 123 V2: 15 Vties: 4</t>
  </si>
  <si>
    <t xml:space="preserve">AASR: 0.00
V1: 89 V2: 32 Vties: 21</t>
  </si>
  <si>
    <t xml:space="preserve">AASR: 0.00
V1: 125 V2: 8 Vties: 9</t>
  </si>
  <si>
    <t xml:space="preserve">AASR: 0.00
V1: 134 V2: 5 Vties: 3</t>
  </si>
  <si>
    <t xml:space="preserve">AASR: 0.00
V1: 98 V2: 36 Vties: 8</t>
  </si>
  <si>
    <t xml:space="preserve">AASR: 0.00
V1: 107 V2: 24 Vties: 11</t>
  </si>
  <si>
    <t xml:space="preserve">AASR: 0.00
V1: 138 V2: 1 Vties: 3</t>
  </si>
  <si>
    <t xml:space="preserve">AASR: 0.00
V1: 51 V2: 70 Vties: 21</t>
  </si>
  <si>
    <t xml:space="preserve">AASR: 0.00
V1: 124 V2: 12 Vties: 6</t>
  </si>
  <si>
    <t xml:space="preserve">AASR: 0.00
V1: 95 V2: 33 Vties: 14</t>
  </si>
  <si>
    <t xml:space="preserve">AASR: 0.00
V1: 130 V2: 2 Vties: 10</t>
  </si>
  <si>
    <t xml:space="preserve">AASR: 0.17
V1: 133 V2: 6 Vties: 3</t>
  </si>
  <si>
    <t xml:space="preserve">AASR: 0.00
V1: 94 V2: 36 Vties: 12</t>
  </si>
  <si>
    <t xml:space="preserve">AASR: 0.00
V1: 112 V2: 23 Vties: 7</t>
  </si>
  <si>
    <t xml:space="preserve">AASR: 0.00
V1: 141 V2: 0 Vties: 1</t>
  </si>
  <si>
    <t xml:space="preserve">AASR: 0.00
V1: 78 V2: 58 Vties: 6</t>
  </si>
  <si>
    <t xml:space="preserve">AASR: 0.19
V1: 41 V2: 43 Vties: 58</t>
  </si>
  <si>
    <t xml:space="preserve">AASR: 0.00
V1: 92 V2: 43 Vties: 7</t>
  </si>
  <si>
    <t xml:space="preserve">AASR: 0.00
V1: 96 V2: 37 Vties: 9</t>
  </si>
  <si>
    <t xml:space="preserve">AASR: 0.00
V1: 104 V2: 23 Vties: 15</t>
  </si>
  <si>
    <t xml:space="preserve">AASR: 0.00
V1: 75 V2: 57 Vties: 10</t>
  </si>
  <si>
    <t xml:space="preserve">AASR: 0.00
V1: 128 V2: 12 Vties: 2</t>
  </si>
  <si>
    <t xml:space="preserve">AASR: 0.00
V1: 84 V2: 43 Vties: 15</t>
  </si>
  <si>
    <t xml:space="preserve">AASR: 0.00
V1: 139 V2: 2 Vties: 0</t>
  </si>
  <si>
    <t xml:space="preserve">AASR: 0.00
V1: 127 V2: 2 Vties: 12</t>
  </si>
  <si>
    <t xml:space="preserve">AASR: 0.00
V1: 75 V2: 22 Vties: 42</t>
  </si>
  <si>
    <t xml:space="preserve">AASR: 0.08
V1: 84 V2: 12 Vties: 42</t>
  </si>
  <si>
    <t xml:space="preserve">AASR: 0.00
V1: 140 V2: 0 Vties: 1</t>
  </si>
  <si>
    <t xml:space="preserve">AASR: 0.00
V1: 67 V2: 40 Vties: 32</t>
  </si>
  <si>
    <t xml:space="preserve">AASR: 0.00
V1: 120 V2: 3 Vties: 15</t>
  </si>
  <si>
    <t xml:space="preserve">AASR: 0.00
V1: 70 V2: 19 Vties: 52</t>
  </si>
  <si>
    <t xml:space="preserve">AASR: 0.00
V1: 141 V2: 1 Vties: 0</t>
  </si>
  <si>
    <t xml:space="preserve">AASR: 0.00
V1: 133 V2: 4 Vties: 5</t>
  </si>
  <si>
    <t xml:space="preserve">AASR: 0.00
V1: 90 V2: 26 Vties: 26</t>
  </si>
  <si>
    <t xml:space="preserve">AASR: 0.00
V1: 102 V2: 14 Vties: 26</t>
  </si>
  <si>
    <t xml:space="preserve">AASR: 0.00
V1: 142 V2: 0 Vties: 0</t>
  </si>
  <si>
    <t xml:space="preserve">AASR: 0.00
V1: 66 V2: 47 Vties: 29</t>
  </si>
  <si>
    <t xml:space="preserve">AASR: 0.00
V1: 125 V2: 6 Vties: 11</t>
  </si>
  <si>
    <t xml:space="preserve">AASR: 0.00
V1: 79 V2: 28 Vties: 35</t>
  </si>
  <si>
    <t xml:space="preserve">AASR: 0.00
V1: 139 V2: 0 Vties: 3</t>
  </si>
  <si>
    <t xml:space="preserve">FR: 0.70
V1: 108 V2: 13 Vties: 14</t>
  </si>
  <si>
    <t xml:space="preserve">FR: 0.68
V1: 80 V2: 39 Vties: 22</t>
  </si>
  <si>
    <t xml:space="preserve">FR: 0.71
V1: 77 V2: 25 Vties: 33</t>
  </si>
  <si>
    <t xml:space="preserve">FR: 0.49
V1: 123 V2: 7 Vties: 7</t>
  </si>
  <si>
    <t xml:space="preserve">FR: 0.47
V1: 49 V2: 70 Vties: 19</t>
  </si>
  <si>
    <t xml:space="preserve">FR: 0.71
V1: 101 V2: 21 Vties: 17</t>
  </si>
  <si>
    <t xml:space="preserve">FR: 0.57
V1: 62 V2: 50 Vties: 22</t>
  </si>
  <si>
    <t xml:space="preserve">FR: 0.80
V1: 103 V2: 11 Vties: 24</t>
  </si>
  <si>
    <t xml:space="preserve">FR: 0.68
V1: 123 V2: 7 Vties: 12</t>
  </si>
  <si>
    <t xml:space="preserve">FR: 0.56
V1: 41 V2: 57 Vties: 44</t>
  </si>
  <si>
    <t xml:space="preserve">FR: 0.67
V1: 73 V2: 35 Vties: 34</t>
  </si>
  <si>
    <t xml:space="preserve">FR: 0.42
V1: 133 V2: 3 Vties: 6</t>
  </si>
  <si>
    <t xml:space="preserve">FR: 0.38
V1: 28 V2: 83 Vties: 31</t>
  </si>
  <si>
    <t xml:space="preserve">FR: 0.61
V1: 115 V2: 12 Vties: 15</t>
  </si>
  <si>
    <t xml:space="preserve">FR: 0.70
V1: 77 V2: 34 Vties: 31</t>
  </si>
  <si>
    <t xml:space="preserve">FR: 0.73
V1: 107 V2: 2 Vties: 33</t>
  </si>
  <si>
    <t xml:space="preserve">FR: 0.80
V1: 129 V2: 6 Vties: 7</t>
  </si>
  <si>
    <t xml:space="preserve">FR: 0.65
V1: 85 V2: 33 Vties: 24</t>
  </si>
  <si>
    <t xml:space="preserve">FR: 0.72
V1: 96 V2: 30 Vties: 16</t>
  </si>
  <si>
    <t xml:space="preserve">FR: 0.42
V1: 136 V2: 3 Vties: 3</t>
  </si>
  <si>
    <t xml:space="preserve">FR: 0.47
V1: 61 V2: 65 Vties: 16</t>
  </si>
  <si>
    <t xml:space="preserve">FR: 0.77
V1: 117 V2: 13 Vties: 12</t>
  </si>
  <si>
    <t xml:space="preserve">FR: 0.74
V1: 87 V2: 35 Vties: 20</t>
  </si>
  <si>
    <t xml:space="preserve">FR: 0.87
V1: 101 V2: 1 Vties: 40</t>
  </si>
  <si>
    <t xml:space="preserve">FR: 0.58
V1: 133 V2: 3 Vties: 6</t>
  </si>
  <si>
    <t xml:space="preserve">FR: 0.56
V1: 83 V2: 31 Vties: 26</t>
  </si>
  <si>
    <t xml:space="preserve">FR: 0.64
V1: 96 V2: 23 Vties: 23</t>
  </si>
  <si>
    <t xml:space="preserve">FR: 0.29
V1: 140 V2: 0 Vties: 2</t>
  </si>
  <si>
    <t xml:space="preserve">FR: 0.44
V1: 59 V2: 64 Vties: 17</t>
  </si>
  <si>
    <t xml:space="preserve">FR: 0.65
V1: 128 V2: 7 Vties: 7</t>
  </si>
  <si>
    <t xml:space="preserve">FR: 0.76
V1: 95 V2: 24 Vties: 20</t>
  </si>
  <si>
    <t xml:space="preserve">FR: 0.74
V1: 136 V2: 1 Vties: 5</t>
  </si>
  <si>
    <t xml:space="preserve">FR: 0.74
V1: 107 V2: 11 Vties: 24</t>
  </si>
  <si>
    <t xml:space="preserve">FR: 0.75
V1: 71 V2: 21 Vties: 50</t>
  </si>
  <si>
    <t xml:space="preserve">FR: 0.69
V1: 65 V2: 34 Vties: 43</t>
  </si>
  <si>
    <t xml:space="preserve">FR: 0.50
V1: 111 V2: 14 Vties: 17</t>
  </si>
  <si>
    <t xml:space="preserve">FR: 0.60
V1: 47 V2: 50 Vties: 45</t>
  </si>
  <si>
    <t xml:space="preserve">FR: 0.76
V1: 88 V2: 21 Vties: 33</t>
  </si>
  <si>
    <t xml:space="preserve">FR: 0.75
V1: 39 V2: 26 Vties: 77</t>
  </si>
  <si>
    <t xml:space="preserve">FR: 0.75
V1: 61 V2: 26 Vties: 54</t>
  </si>
  <si>
    <t xml:space="preserve">FR: 0.65
V1: 135 V2: 5 Vties: 2</t>
  </si>
  <si>
    <t xml:space="preserve">FR: 0.71
V1: 88 V2: 31 Vties: 23</t>
  </si>
  <si>
    <t xml:space="preserve">FR: 0.67
V1: 90 V2: 36 Vties: 16</t>
  </si>
  <si>
    <t xml:space="preserve">FR: 0.25
V1: 140 V2: 1 Vties: 1</t>
  </si>
  <si>
    <t xml:space="preserve">FR: 0.49
V1: 60 V2: 68 Vties: 14</t>
  </si>
  <si>
    <t xml:space="preserve">FR: 0.64
V1: 123 V2: 15 Vties: 4</t>
  </si>
  <si>
    <t xml:space="preserve">FR: 0.75
V1: 89 V2: 32 Vties: 21</t>
  </si>
  <si>
    <t xml:space="preserve">FR: 0.78
V1: 125 V2: 8 Vties: 9</t>
  </si>
  <si>
    <t xml:space="preserve">FR: 0.84
V1: 134 V2: 5 Vties: 3</t>
  </si>
  <si>
    <t xml:space="preserve">FR: 0.71
V1: 98 V2: 36 Vties: 8</t>
  </si>
  <si>
    <t xml:space="preserve">FR: 0.80
V1: 107 V2: 24 Vties: 11</t>
  </si>
  <si>
    <t xml:space="preserve">FR: 0.42
V1: 138 V2: 1 Vties: 3</t>
  </si>
  <si>
    <t xml:space="preserve">FR: 0.48
V1: 51 V2: 70 Vties: 21</t>
  </si>
  <si>
    <t xml:space="preserve">FR: 0.77
V1: 124 V2: 12 Vties: 6</t>
  </si>
  <si>
    <t xml:space="preserve">FR: 0.75
V1: 95 V2: 33 Vties: 14</t>
  </si>
  <si>
    <t xml:space="preserve">FR: 0.85
V1: 130 V2: 2 Vties: 10</t>
  </si>
  <si>
    <t xml:space="preserve">FR: 0.37
V1: 133 V2: 6 Vties: 3</t>
  </si>
  <si>
    <t xml:space="preserve">FR: 0.47
V1: 94 V2: 36 Vties: 12</t>
  </si>
  <si>
    <t xml:space="preserve">FR: 0.54
V1: 112 V2: 23 Vties: 7</t>
  </si>
  <si>
    <t xml:space="preserve">FR: 0.09
V1: 141 V2: 0 Vties: 1</t>
  </si>
  <si>
    <t xml:space="preserve">FR: 0.37
V1: 78 V2: 58 Vties: 6</t>
  </si>
  <si>
    <t xml:space="preserve">FR: 0.55
V1: 41 V2: 43 Vties: 58</t>
  </si>
  <si>
    <t xml:space="preserve">FR: 0.53
V1: 92 V2: 43 Vties: 7</t>
  </si>
  <si>
    <t xml:space="preserve">FR: 0.30
V1: 140 V2: 1 Vties: 1</t>
  </si>
  <si>
    <t xml:space="preserve">FR: 0.58
V1: 134 V2: 5 Vties: 3</t>
  </si>
  <si>
    <t xml:space="preserve">FR: 0.52
V1: 96 V2: 37 Vties: 9</t>
  </si>
  <si>
    <t xml:space="preserve">FR: 0.64
V1: 104 V2: 23 Vties: 15</t>
  </si>
  <si>
    <t xml:space="preserve">FR: 0.17
V1: 140 V2: 0 Vties: 2</t>
  </si>
  <si>
    <t xml:space="preserve">FR: 0.50
V1: 75 V2: 57 Vties: 10</t>
  </si>
  <si>
    <t xml:space="preserve">FR: 0.63
V1: 128 V2: 12 Vties: 2</t>
  </si>
  <si>
    <t xml:space="preserve">FR: 0.64
V1: 84 V2: 43 Vties: 15</t>
  </si>
  <si>
    <t xml:space="preserve">FR: 0.47
V1: 139 V2: 2 Vties: 0</t>
  </si>
  <si>
    <t xml:space="preserve">FR: 0.33
V1: 127 V2: 2 Vties: 12</t>
  </si>
  <si>
    <t xml:space="preserve">FR: 0.53
V1: 75 V2: 22 Vties: 42</t>
  </si>
  <si>
    <t xml:space="preserve">FR: 0.57
V1: 84 V2: 12 Vties: 42</t>
  </si>
  <si>
    <t xml:space="preserve">FR: 0.08
V1: 140 V2: 0 Vties: 1</t>
  </si>
  <si>
    <t xml:space="preserve">FR: 0.47
V1: 67 V2: 40 Vties: 32</t>
  </si>
  <si>
    <t xml:space="preserve">FR: 0.46
V1: 120 V2: 3 Vties: 15</t>
  </si>
  <si>
    <t xml:space="preserve">FR: 0.66
V1: 70 V2: 19 Vties: 52</t>
  </si>
  <si>
    <t xml:space="preserve">FR: 0.15
V1: 141 V2: 1 Vties: 0</t>
  </si>
  <si>
    <t xml:space="preserve">FR: 0.27
V1: 133 V2: 4 Vties: 5</t>
  </si>
  <si>
    <t xml:space="preserve">FR: 0.50
V1: 90 V2: 26 Vties: 26</t>
  </si>
  <si>
    <t xml:space="preserve">FR: 0.60
V1: 102 V2: 14 Vties: 26</t>
  </si>
  <si>
    <t xml:space="preserve">FR: 0.09
V1: 142 V2: 0 Vties: 0</t>
  </si>
  <si>
    <t xml:space="preserve">FR: 0.51
V1: 66 V2: 47 Vties: 29</t>
  </si>
  <si>
    <t xml:space="preserve">FR: 0.42
V1: 125 V2: 6 Vties: 11</t>
  </si>
  <si>
    <t xml:space="preserve">FR: 0.61
V1: 79 V2: 28 Vties: 35</t>
  </si>
  <si>
    <t xml:space="preserve">FR: 0.21
V1: 139 V2: 0 Vties: 3</t>
  </si>
  <si>
    <t xml:space="preserve">CR: 0.33
V1: 108 V2: 13 Vties: 14</t>
  </si>
  <si>
    <t xml:space="preserve">CR: 0.38
V1: 80 V2: 39 Vties: 22</t>
  </si>
  <si>
    <t xml:space="preserve">CR: 0.38
V1: 77 V2: 25 Vties: 33</t>
  </si>
  <si>
    <t xml:space="preserve">CR: 0.54
V1: 123 V2: 7 Vties: 7</t>
  </si>
  <si>
    <t xml:space="preserve">CR: 0.61
V1: 49 V2: 70 Vties: 19</t>
  </si>
  <si>
    <t xml:space="preserve">CR: 0.33
V1: 101 V2: 21 Vties: 17</t>
  </si>
  <si>
    <t xml:space="preserve">CR: 0.51
V1: 62 V2: 50 Vties: 22</t>
  </si>
  <si>
    <t xml:space="preserve">CR: 0.25
V1: 103 V2: 11 Vties: 24</t>
  </si>
  <si>
    <t xml:space="preserve">CR: 0.35
V1: 123 V2: 7 Vties: 12</t>
  </si>
  <si>
    <t xml:space="preserve">CR: 0.63
V1: 41 V2: 57 Vties: 44</t>
  </si>
  <si>
    <t xml:space="preserve">CR: 0.44
V1: 73 V2: 35 Vties: 34</t>
  </si>
  <si>
    <t xml:space="preserve">CR: 0.60
V1: 133 V2: 3 Vties: 6</t>
  </si>
  <si>
    <t xml:space="preserve">CR: 0.79
V1: 28 V2: 83 Vties: 31</t>
  </si>
  <si>
    <t xml:space="preserve">CR: 0.43
V1: 115 V2: 12 Vties: 15</t>
  </si>
  <si>
    <t xml:space="preserve">CR: 0.38
V1: 77 V2: 34 Vties: 31</t>
  </si>
  <si>
    <t xml:space="preserve">CR: 0.36
V1: 107 V2: 2 Vties: 33</t>
  </si>
  <si>
    <t xml:space="preserve">CR: 0.21
V1: 129 V2: 6 Vties: 7</t>
  </si>
  <si>
    <t xml:space="preserve">CR: 0.42
V1: 85 V2: 33 Vties: 24</t>
  </si>
  <si>
    <t xml:space="preserve">CR: 0.32
V1: 96 V2: 30 Vties: 16</t>
  </si>
  <si>
    <t xml:space="preserve">CR: 0.60
V1: 136 V2: 3 Vties: 3</t>
  </si>
  <si>
    <t xml:space="preserve">CR: 0.60
V1: 61 V2: 65 Vties: 16</t>
  </si>
  <si>
    <t xml:space="preserve">CR: 0.25
V1: 117 V2: 13 Vties: 12</t>
  </si>
  <si>
    <t xml:space="preserve">CR: 0.30
V1: 87 V2: 35 Vties: 20</t>
  </si>
  <si>
    <t xml:space="preserve">CR: 0.18
V1: 101 V2: 1 Vties: 40</t>
  </si>
  <si>
    <t xml:space="preserve">CR: 0.44
V1: 133 V2: 3 Vties: 6</t>
  </si>
  <si>
    <t xml:space="preserve">CR: 0.54
V1: 83 V2: 31 Vties: 26</t>
  </si>
  <si>
    <t xml:space="preserve">CR: 0.43
V1: 96 V2: 23 Vties: 23</t>
  </si>
  <si>
    <t xml:space="preserve">CR: 0.72
V1: 140 V2: 0 Vties: 2</t>
  </si>
  <si>
    <t xml:space="preserve">CR: 0.63
V1: 59 V2: 64 Vties: 17</t>
  </si>
  <si>
    <t xml:space="preserve">CR: 0.36
V1: 128 V2: 7 Vties: 7</t>
  </si>
  <si>
    <t xml:space="preserve">CR: 0.28
V1: 95 V2: 24 Vties: 20</t>
  </si>
  <si>
    <t xml:space="preserve">CR: 0.27
V1: 136 V2: 1 Vties: 5</t>
  </si>
  <si>
    <t xml:space="preserve">CR: 0.31
V1: 107 V2: 11 Vties: 24</t>
  </si>
  <si>
    <t xml:space="preserve">CR: 0.38
V1: 71 V2: 21 Vties: 50</t>
  </si>
  <si>
    <t xml:space="preserve">CR: 0.44
V1: 65 V2: 34 Vties: 43</t>
  </si>
  <si>
    <t xml:space="preserve">CR: 0.57
V1: 111 V2: 14 Vties: 17</t>
  </si>
  <si>
    <t xml:space="preserve">CR: 0.59
V1: 47 V2: 50 Vties: 45</t>
  </si>
  <si>
    <t xml:space="preserve">CR: 0.31
V1: 88 V2: 21 Vties: 33</t>
  </si>
  <si>
    <t xml:space="preserve">CR: 0.55
V1: 39 V2: 26 Vties: 77</t>
  </si>
  <si>
    <t xml:space="preserve">CR: 0.40
V1: 61 V2: 26 Vties: 54</t>
  </si>
  <si>
    <t xml:space="preserve">CR: 0.35
V1: 135 V2: 5 Vties: 2</t>
  </si>
  <si>
    <t xml:space="preserve">CR: 0.34
V1: 88 V2: 31 Vties: 23</t>
  </si>
  <si>
    <t xml:space="preserve">CR: 0.37
V1: 90 V2: 36 Vties: 16</t>
  </si>
  <si>
    <t xml:space="preserve">CR: 0.76
V1: 140 V2: 1 Vties: 1</t>
  </si>
  <si>
    <t xml:space="preserve">CR: 0.56
V1: 60 V2: 68 Vties: 14</t>
  </si>
  <si>
    <t xml:space="preserve">CR: 0.37
V1: 123 V2: 15 Vties: 4</t>
  </si>
  <si>
    <t xml:space="preserve">CR: 0.29
V1: 89 V2: 32 Vties: 21</t>
  </si>
  <si>
    <t xml:space="preserve">CR: 0.23
V1: 125 V2: 8 Vties: 9</t>
  </si>
  <si>
    <t xml:space="preserve">CR: 0.17
V1: 134 V2: 5 Vties: 3</t>
  </si>
  <si>
    <t xml:space="preserve">CR: 0.31
V1: 98 V2: 36 Vties: 8</t>
  </si>
  <si>
    <t xml:space="preserve">CR: 0.22
V1: 107 V2: 24 Vties: 11</t>
  </si>
  <si>
    <t xml:space="preserve">CR: 0.59
V1: 138 V2: 1 Vties: 3</t>
  </si>
  <si>
    <t xml:space="preserve">CR: 0.61
V1: 51 V2: 70 Vties: 21</t>
  </si>
  <si>
    <t xml:space="preserve">CR: 0.24
V1: 124 V2: 12 Vties: 6</t>
  </si>
  <si>
    <t xml:space="preserve">CR: 0.27
V1: 95 V2: 33 Vties: 14</t>
  </si>
  <si>
    <t xml:space="preserve">CR: 0.16
V1: 130 V2: 2 Vties: 10</t>
  </si>
  <si>
    <t xml:space="preserve">CR: 0.65
V1: 133 V2: 6 Vties: 3</t>
  </si>
  <si>
    <t xml:space="preserve">CR: 0.58
V1: 94 V2: 36 Vties: 12</t>
  </si>
  <si>
    <t xml:space="preserve">CR: 0.49
V1: 112 V2: 23 Vties: 7</t>
  </si>
  <si>
    <t xml:space="preserve">CR: 0.91
V1: 141 V2: 0 Vties: 1</t>
  </si>
  <si>
    <t xml:space="preserve">CR: 0.65
V1: 78 V2: 58 Vties: 6</t>
  </si>
  <si>
    <t xml:space="preserve">CR: 0.76
V1: 41 V2: 43 Vties: 58</t>
  </si>
  <si>
    <t xml:space="preserve">CR: 0.50
V1: 92 V2: 43 Vties: 7</t>
  </si>
  <si>
    <t xml:space="preserve">CR: 0.71
V1: 140 V2: 1 Vties: 1</t>
  </si>
  <si>
    <t xml:space="preserve">CR: 0.43
V1: 134 V2: 5 Vties: 3</t>
  </si>
  <si>
    <t xml:space="preserve">CR: 0.51
V1: 96 V2: 37 Vties: 9</t>
  </si>
  <si>
    <t xml:space="preserve">CR: 0.40
V1: 104 V2: 23 Vties: 15</t>
  </si>
  <si>
    <t xml:space="preserve">CR: 0.84
V1: 140 V2: 0 Vties: 2</t>
  </si>
  <si>
    <t xml:space="preserve">CR: 0.54
V1: 75 V2: 57 Vties: 10</t>
  </si>
  <si>
    <t xml:space="preserve">CR: 0.38
V1: 128 V2: 12 Vties: 2</t>
  </si>
  <si>
    <t xml:space="preserve">CR: 0.40
V1: 84 V2: 43 Vties: 15</t>
  </si>
  <si>
    <t xml:space="preserve">CR: 0.53
V1: 139 V2: 2 Vties: 0</t>
  </si>
  <si>
    <t xml:space="preserve">CR: 0.73
V1: 127 V2: 2 Vties: 12</t>
  </si>
  <si>
    <t xml:space="preserve">CR: 0.68
V1: 75 V2: 22 Vties: 42</t>
  </si>
  <si>
    <t xml:space="preserve">CR: 0.61
V1: 84 V2: 12 Vties: 42</t>
  </si>
  <si>
    <t xml:space="preserve">CR: 0.93
V1: 140 V2: 0 Vties: 1</t>
  </si>
  <si>
    <t xml:space="preserve">CR: 0.69
V1: 67 V2: 40 Vties: 32</t>
  </si>
  <si>
    <t xml:space="preserve">CR: 0.60
V1: 120 V2: 3 Vties: 15</t>
  </si>
  <si>
    <t xml:space="preserve">CR: 0.54
V1: 70 V2: 19 Vties: 52</t>
  </si>
  <si>
    <t xml:space="preserve">CR: 0.85
V1: 141 V2: 1 Vties: 0</t>
  </si>
  <si>
    <t xml:space="preserve">CR: 0.75
V1: 133 V2: 4 Vties: 5</t>
  </si>
  <si>
    <t xml:space="preserve">CR: 0.61
V1: 90 V2: 26 Vties: 26</t>
  </si>
  <si>
    <t xml:space="preserve">CR: 0.49
V1: 102 V2: 14 Vties: 26</t>
  </si>
  <si>
    <t xml:space="preserve">CR: 0.91
V1: 142 V2: 0 Vties: 0</t>
  </si>
  <si>
    <t xml:space="preserve">CR: 0.61
V1: 66 V2: 47 Vties: 29</t>
  </si>
  <si>
    <t xml:space="preserve">CR: 0.63
V1: 125 V2: 6 Vties: 11</t>
  </si>
  <si>
    <t xml:space="preserve">CR: 0.51
V1: 79 V2: 28 Vties: 35</t>
  </si>
  <si>
    <t xml:space="preserve">CR: 0.81
V1: 139 V2: 0 Vties: 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</si>
</sst>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0.000000"/>
      <color indexed="64"/>
      <name val="Courier New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0" xfId="0" applyAlignment="1">
      <alignment horizontal="center" vertical="center" wrapText="1"/>
    </xf>
    <xf fontId="1" fillId="0" borderId="1" numFmtId="0" xfId="0" applyFont="1" applyBorder="1" applyAlignment="1">
      <alignment horizontal="center" vertical="top"/>
    </xf>
    <xf fontId="1" fillId="0" borderId="0" numFmtId="0" xfId="0" applyFont="1" applyAlignment="1">
      <alignment horizontal="center" vertical="top"/>
    </xf>
    <xf fontId="0" fillId="0" borderId="0" numFmtId="0" xfId="0" applyAlignment="1">
      <alignment horizontal="center" vertical="center" wrapText="1"/>
    </xf>
    <xf fontId="0" fillId="0" borderId="0" numFmtId="0" xfId="0" applyAlignment="1">
      <alignment horizontal="center" vertical="center"/>
    </xf>
    <xf fontId="2" fillId="0" borderId="0" numFmtId="0" xfId="0" applyFont="1" applyAlignment="1">
      <alignment horizontal="center" vertical="center" wrapText="1"/>
    </xf>
    <xf fontId="0" fillId="0" borderId="0" numFmt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9" style="1" width="20.7109375"/>
    <col customWidth="1" min="10" max="10" style="1" width="1.54296875"/>
    <col customWidth="1" min="11" max="11" style="1" width="13.28125"/>
    <col customWidth="1" min="12" max="12" style="1" width="1.542968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 t="s">
        <v>9</v>
      </c>
    </row>
    <row r="2" ht="28.5">
      <c r="A2" s="2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4"/>
      <c r="K2" s="5" t="e">
        <f>AVERAGE(V2:AC2)</f>
        <v>#VALUE!</v>
      </c>
      <c r="L2" s="1"/>
      <c r="M2" s="1">
        <f>SUM(VALUE(MID(SUBSTITUTE(B2,CHAR(10),""),FIND("V1:",SUBSTITUTE(B2,CHAR(10),""))+3,FIND("V2:",SUBSTITUTE(B2,CHAR(10),""))-FIND("V1:",SUBSTITUTE(B2,CHAR(10),""))-3)),VALUE(MID(SUBSTITUTE(B2,CHAR(10),""),FIND("V2:",SUBSTITUTE(B2,CHAR(10),""))+3,FIND("Vties:",SUBSTITUTE(B2,CHAR(10),""))-FIND("V2:",SUBSTITUTE(B2,CHAR(10),""))-3)),VALUE(MID(SUBSTITUTE(B2,CHAR(10),""),FIND("Vties:",SUBSTITUTE(B2,CHAR(10),""))+6,99)))</f>
        <v>141</v>
      </c>
      <c r="N2" s="1">
        <f>SUM(VALUE(MID(SUBSTITUTE(C2,CHAR(10),""),FIND("V1:",SUBSTITUTE(C2,CHAR(10),""))+3,FIND("V2:",SUBSTITUTE(C2,CHAR(10),""))-FIND("V1:",SUBSTITUTE(C2,CHAR(10),""))-3)),VALUE(MID(SUBSTITUTE(C2,CHAR(10),""),FIND("V2:",SUBSTITUTE(C2,CHAR(10),""))+3,FIND("Vties:",SUBSTITUTE(C2,CHAR(10),""))-FIND("V2:",SUBSTITUTE(C2,CHAR(10),""))-3)),VALUE(MID(SUBSTITUTE(C2,CHAR(10),""),FIND("Vties:",SUBSTITUTE(C2,CHAR(10),""))+6,99)))</f>
        <v>139</v>
      </c>
      <c r="O2" s="1">
        <f>SUM(VALUE(MID(SUBSTITUTE(D2,CHAR(10),""),FIND("V1:",SUBSTITUTE(D2,CHAR(10),""))+3,FIND("V2:",SUBSTITUTE(D2,CHAR(10),""))-FIND("V1:",SUBSTITUTE(D2,CHAR(10),""))-3)),VALUE(MID(SUBSTITUTE(D2,CHAR(10),""),FIND("V2:",SUBSTITUTE(D2,CHAR(10),""))+3,FIND("Vties:",SUBSTITUTE(D2,CHAR(10),""))-FIND("V2:",SUBSTITUTE(D2,CHAR(10),""))-3)),VALUE(MID(SUBSTITUTE(D2,CHAR(10),""),FIND("Vties:",SUBSTITUTE(D2,CHAR(10),""))+6,99)))</f>
        <v>138</v>
      </c>
      <c r="P2" s="1">
        <f>SUM(VALUE(MID(SUBSTITUTE(E2,CHAR(10),""),FIND("V1:",SUBSTITUTE(E2,CHAR(10),""))+3,FIND("V2:",SUBSTITUTE(E2,CHAR(10),""))-FIND("V1:",SUBSTITUTE(E2,CHAR(10),""))-3)),VALUE(MID(SUBSTITUTE(E2,CHAR(10),""),FIND("V2:",SUBSTITUTE(E2,CHAR(10),""))+3,FIND("Vties:",SUBSTITUTE(E2,CHAR(10),""))-FIND("V2:",SUBSTITUTE(E2,CHAR(10),""))-3)),VALUE(MID(SUBSTITUTE(E2,CHAR(10),""),FIND("Vties:",SUBSTITUTE(E2,CHAR(10),""))+6,99)))</f>
        <v>141</v>
      </c>
      <c r="Q2" s="1">
        <f>SUM(VALUE(MID(SUBSTITUTE(F2,CHAR(10),""),FIND("V1:",SUBSTITUTE(F2,CHAR(10),""))+3,FIND("V2:",SUBSTITUTE(F2,CHAR(10),""))-FIND("V1:",SUBSTITUTE(F2,CHAR(10),""))-3)),VALUE(MID(SUBSTITUTE(F2,CHAR(10),""),FIND("V2:",SUBSTITUTE(F2,CHAR(10),""))+3,FIND("Vties:",SUBSTITUTE(F2,CHAR(10),""))-FIND("V2:",SUBSTITUTE(F2,CHAR(10),""))-3)),VALUE(MID(SUBSTITUTE(F2,CHAR(10),""),FIND("Vties:",SUBSTITUTE(F2,CHAR(10),""))+6,99)))</f>
        <v>139</v>
      </c>
      <c r="R2" s="1">
        <f>SUM(VALUE(MID(SUBSTITUTE(G2,CHAR(10),""),FIND("V1:",SUBSTITUTE(G2,CHAR(10),""))+3,FIND("V2:",SUBSTITUTE(G2,CHAR(10),""))-FIND("V1:",SUBSTITUTE(G2,CHAR(10),""))-3)),VALUE(MID(SUBSTITUTE(G2,CHAR(10),""),FIND("V2:",SUBSTITUTE(G2,CHAR(10),""))+3,FIND("Vties:",SUBSTITUTE(G2,CHAR(10),""))-FIND("V2:",SUBSTITUTE(G2,CHAR(10),""))-3)),VALUE(MID(SUBSTITUTE(G2,CHAR(10),""),FIND("Vties:",SUBSTITUTE(G2,CHAR(10),""))+6,99)))</f>
        <v>138</v>
      </c>
      <c r="S2" s="1">
        <f>SUM(VALUE(MID(SUBSTITUTE(H2,CHAR(10),""),FIND("V1:",SUBSTITUTE(H2,CHAR(10),""))+3,FIND("V2:",SUBSTITUTE(H2,CHAR(10),""))-FIND("V1:",SUBSTITUTE(H2,CHAR(10),""))-3)),VALUE(MID(SUBSTITUTE(H2,CHAR(10),""),FIND("V2:",SUBSTITUTE(H2,CHAR(10),""))+3,FIND("Vties:",SUBSTITUTE(H2,CHAR(10),""))-FIND("V2:",SUBSTITUTE(H2,CHAR(10),""))-3)),VALUE(MID(SUBSTITUTE(H2,CHAR(10),""),FIND("Vties:",SUBSTITUTE(H2,CHAR(10),""))+6,99)))</f>
        <v>141</v>
      </c>
      <c r="T2" s="1">
        <f>SUM(VALUE(MID(SUBSTITUTE(I2,CHAR(10),""),FIND("V1:",SUBSTITUTE(I2,CHAR(10),""))+3,FIND("V2:",SUBSTITUTE(I2,CHAR(10),""))-FIND("V1:",SUBSTITUTE(I2,CHAR(10),""))-3)),VALUE(MID(SUBSTITUTE(I2,CHAR(10),""),FIND("V2:",SUBSTITUTE(I2,CHAR(10),""))+3,FIND("Vties:",SUBSTITUTE(I2,CHAR(10),""))-FIND("V2:",SUBSTITUTE(I2,CHAR(10),""))-3)),VALUE(MID(SUBSTITUTE(I2,CHAR(10),""),FIND("Vties:",SUBSTITUTE(I2,CHAR(10),""))+6,99)))</f>
        <v>142</v>
      </c>
      <c r="U2" s="6"/>
      <c r="V2" s="6" t="e">
        <f>VALUE(SUBSTITUTE(MID(SUBSTITUTE(B2,CHAR(10),""),FIND("ASR:",SUBSTITUTE(B2,CHAR(10),""))+4,FIND("V1:",SUBSTITUTE(B2,CHAR(10),""))-FIND("ASR:",SUBSTITUTE(B2,CHAR(10),""))-4),".",","))</f>
        <v>#VALUE!</v>
      </c>
      <c r="W2" s="6" t="e">
        <f>VALUE(SUBSTITUTE(MID(SUBSTITUTE(C2,CHAR(10),""),FIND("ASR:",SUBSTITUTE(C2,CHAR(10),""))+4,FIND("V1:",SUBSTITUTE(C2,CHAR(10),""))-FIND("ASR:",SUBSTITUTE(C2,CHAR(10),""))-4),".",","))</f>
        <v>#VALUE!</v>
      </c>
      <c r="X2" s="6" t="e">
        <f>VALUE(SUBSTITUTE(MID(SUBSTITUTE(D2,CHAR(10),""),FIND("ASR:",SUBSTITUTE(D2,CHAR(10),""))+4,FIND("V1:",SUBSTITUTE(D2,CHAR(10),""))-FIND("ASR:",SUBSTITUTE(D2,CHAR(10),""))-4),".",","))</f>
        <v>#VALUE!</v>
      </c>
      <c r="Y2" s="6" t="e">
        <f>VALUE(SUBSTITUTE(MID(SUBSTITUTE(E2,CHAR(10),""),FIND("ASR:",SUBSTITUTE(E2,CHAR(10),""))+4,FIND("V1:",SUBSTITUTE(E2,CHAR(10),""))-FIND("ASR:",SUBSTITUTE(E2,CHAR(10),""))-4),".",","))</f>
        <v>#VALUE!</v>
      </c>
      <c r="Z2" s="6" t="e">
        <f>VALUE(SUBSTITUTE(MID(SUBSTITUTE(F2,CHAR(10),""),FIND("ASR:",SUBSTITUTE(F2,CHAR(10),""))+4,FIND("V1:",SUBSTITUTE(F2,CHAR(10),""))-FIND("ASR:",SUBSTITUTE(F2,CHAR(10),""))-4),".",","))</f>
        <v>#VALUE!</v>
      </c>
      <c r="AA2" s="6" t="e">
        <f>VALUE(SUBSTITUTE(MID(SUBSTITUTE(G2,CHAR(10),""),FIND("ASR:",SUBSTITUTE(G2,CHAR(10),""))+4,FIND("V1:",SUBSTITUTE(G2,CHAR(10),""))-FIND("ASR:",SUBSTITUTE(G2,CHAR(10),""))-4),".",","))</f>
        <v>#VALUE!</v>
      </c>
      <c r="AB2" s="6" t="e">
        <f>VALUE(SUBSTITUTE(MID(SUBSTITUTE(H2,CHAR(10),""),FIND("ASR:",SUBSTITUTE(H2,CHAR(10),""))+4,FIND("V1:",SUBSTITUTE(H2,CHAR(10),""))-FIND("ASR:",SUBSTITUTE(H2,CHAR(10),""))-4),".",","))</f>
        <v>#VALUE!</v>
      </c>
      <c r="AC2" s="6" t="e">
        <f>VALUE(SUBSTITUTE(MID(SUBSTITUTE(I2,CHAR(10),""),FIND("ASR:",SUBSTITUTE(I2,CHAR(10),""))+4,FIND("V1:",SUBSTITUTE(I2,CHAR(10),""))-FIND("ASR:",SUBSTITUTE(I2,CHAR(10),""))-4),".",","))</f>
        <v>#VALUE!</v>
      </c>
    </row>
    <row r="3" ht="28.5">
      <c r="A3" s="2" t="s">
        <v>19</v>
      </c>
      <c r="B3" s="7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/>
      <c r="K3" s="5" t="e">
        <f>AVERAGE(V3:AC3)</f>
        <v>#VALUE!</v>
      </c>
      <c r="L3" s="1"/>
      <c r="M3" s="1">
        <f>SUM(VALUE(MID(SUBSTITUTE(B3,CHAR(10),""),FIND("V1:",SUBSTITUTE(B3,CHAR(10),""))+3,FIND("V2:",SUBSTITUTE(B3,CHAR(10),""))-FIND("V1:",SUBSTITUTE(B3,CHAR(10),""))-3)),VALUE(MID(SUBSTITUTE(B3,CHAR(10),""),FIND("V2:",SUBSTITUTE(B3,CHAR(10),""))+3,FIND("Vties:",SUBSTITUTE(B3,CHAR(10),""))-FIND("V2:",SUBSTITUTE(B3,CHAR(10),""))-3)),VALUE(MID(SUBSTITUTE(B3,CHAR(10),""),FIND("Vties:",SUBSTITUTE(B3,CHAR(10),""))+6,99)))</f>
        <v>142</v>
      </c>
      <c r="N3" s="1">
        <f>SUM(VALUE(MID(SUBSTITUTE(C3,CHAR(10),""),FIND("V1:",SUBSTITUTE(C3,CHAR(10),""))+3,FIND("V2:",SUBSTITUTE(C3,CHAR(10),""))-FIND("V1:",SUBSTITUTE(C3,CHAR(10),""))-3)),VALUE(MID(SUBSTITUTE(C3,CHAR(10),""),FIND("V2:",SUBSTITUTE(C3,CHAR(10),""))+3,FIND("Vties:",SUBSTITUTE(C3,CHAR(10),""))-FIND("V2:",SUBSTITUTE(C3,CHAR(10),""))-3)),VALUE(MID(SUBSTITUTE(C3,CHAR(10),""),FIND("Vties:",SUBSTITUTE(C3,CHAR(10),""))+6,99)))</f>
        <v>142</v>
      </c>
      <c r="O3" s="1">
        <f>SUM(VALUE(MID(SUBSTITUTE(D3,CHAR(10),""),FIND("V1:",SUBSTITUTE(D3,CHAR(10),""))+3,FIND("V2:",SUBSTITUTE(D3,CHAR(10),""))-FIND("V1:",SUBSTITUTE(D3,CHAR(10),""))-3)),VALUE(MID(SUBSTITUTE(D3,CHAR(10),""),FIND("V2:",SUBSTITUTE(D3,CHAR(10),""))+3,FIND("Vties:",SUBSTITUTE(D3,CHAR(10),""))-FIND("V2:",SUBSTITUTE(D3,CHAR(10),""))-3)),VALUE(MID(SUBSTITUTE(D3,CHAR(10),""),FIND("Vties:",SUBSTITUTE(D3,CHAR(10),""))+6,99)))</f>
        <v>142</v>
      </c>
      <c r="P3" s="1">
        <f>SUM(VALUE(MID(SUBSTITUTE(E3,CHAR(10),""),FIND("V1:",SUBSTITUTE(E3,CHAR(10),""))+3,FIND("V2:",SUBSTITUTE(E3,CHAR(10),""))-FIND("V1:",SUBSTITUTE(E3,CHAR(10),""))-3)),VALUE(MID(SUBSTITUTE(E3,CHAR(10),""),FIND("V2:",SUBSTITUTE(E3,CHAR(10),""))+3,FIND("Vties:",SUBSTITUTE(E3,CHAR(10),""))-FIND("V2:",SUBSTITUTE(E3,CHAR(10),""))-3)),VALUE(MID(SUBSTITUTE(E3,CHAR(10),""),FIND("Vties:",SUBSTITUTE(E3,CHAR(10),""))+6,99)))</f>
        <v>142</v>
      </c>
      <c r="Q3" s="1">
        <f>SUM(VALUE(MID(SUBSTITUTE(F3,CHAR(10),""),FIND("V1:",SUBSTITUTE(F3,CHAR(10),""))+3,FIND("V2:",SUBSTITUTE(F3,CHAR(10),""))-FIND("V1:",SUBSTITUTE(F3,CHAR(10),""))-3)),VALUE(MID(SUBSTITUTE(F3,CHAR(10),""),FIND("V2:",SUBSTITUTE(F3,CHAR(10),""))+3,FIND("Vties:",SUBSTITUTE(F3,CHAR(10),""))-FIND("V2:",SUBSTITUTE(F3,CHAR(10),""))-3)),VALUE(MID(SUBSTITUTE(F3,CHAR(10),""),FIND("Vties:",SUBSTITUTE(F3,CHAR(10),""))+6,99)))</f>
        <v>142</v>
      </c>
      <c r="R3" s="1">
        <f>SUM(VALUE(MID(SUBSTITUTE(G3,CHAR(10),""),FIND("V1:",SUBSTITUTE(G3,CHAR(10),""))+3,FIND("V2:",SUBSTITUTE(G3,CHAR(10),""))-FIND("V1:",SUBSTITUTE(G3,CHAR(10),""))-3)),VALUE(MID(SUBSTITUTE(G3,CHAR(10),""),FIND("V2:",SUBSTITUTE(G3,CHAR(10),""))+3,FIND("Vties:",SUBSTITUTE(G3,CHAR(10),""))-FIND("V2:",SUBSTITUTE(G3,CHAR(10),""))-3)),VALUE(MID(SUBSTITUTE(G3,CHAR(10),""),FIND("Vties:",SUBSTITUTE(G3,CHAR(10),""))+6,99)))</f>
        <v>142</v>
      </c>
      <c r="S3" s="1">
        <f>SUM(VALUE(MID(SUBSTITUTE(H3,CHAR(10),""),FIND("V1:",SUBSTITUTE(H3,CHAR(10),""))+3,FIND("V2:",SUBSTITUTE(H3,CHAR(10),""))-FIND("V1:",SUBSTITUTE(H3,CHAR(10),""))-3)),VALUE(MID(SUBSTITUTE(H3,CHAR(10),""),FIND("V2:",SUBSTITUTE(H3,CHAR(10),""))+3,FIND("Vties:",SUBSTITUTE(H3,CHAR(10),""))-FIND("V2:",SUBSTITUTE(H3,CHAR(10),""))-3)),VALUE(MID(SUBSTITUTE(H3,CHAR(10),""),FIND("Vties:",SUBSTITUTE(H3,CHAR(10),""))+6,99)))</f>
        <v>142</v>
      </c>
      <c r="T3" s="1">
        <f>SUM(VALUE(MID(SUBSTITUTE(I3,CHAR(10),""),FIND("V1:",SUBSTITUTE(I3,CHAR(10),""))+3,FIND("V2:",SUBSTITUTE(I3,CHAR(10),""))-FIND("V1:",SUBSTITUTE(I3,CHAR(10),""))-3)),VALUE(MID(SUBSTITUTE(I3,CHAR(10),""),FIND("V2:",SUBSTITUTE(I3,CHAR(10),""))+3,FIND("Vties:",SUBSTITUTE(I3,CHAR(10),""))-FIND("V2:",SUBSTITUTE(I3,CHAR(10),""))-3)),VALUE(MID(SUBSTITUTE(I3,CHAR(10),""),FIND("Vties:",SUBSTITUTE(I3,CHAR(10),""))+6,99)))</f>
        <v>142</v>
      </c>
      <c r="U3" s="6"/>
      <c r="V3" s="6" t="e">
        <f>VALUE(SUBSTITUTE(MID(SUBSTITUTE(B3,CHAR(10),""),FIND("ASR:",SUBSTITUTE(B3,CHAR(10),""))+4,FIND("V1:",SUBSTITUTE(B3,CHAR(10),""))-FIND("ASR:",SUBSTITUTE(B3,CHAR(10),""))-4),".",","))</f>
        <v>#VALUE!</v>
      </c>
      <c r="W3" s="6" t="e">
        <f>VALUE(SUBSTITUTE(MID(SUBSTITUTE(C3,CHAR(10),""),FIND("ASR:",SUBSTITUTE(C3,CHAR(10),""))+4,FIND("V1:",SUBSTITUTE(C3,CHAR(10),""))-FIND("ASR:",SUBSTITUTE(C3,CHAR(10),""))-4),".",","))</f>
        <v>#VALUE!</v>
      </c>
      <c r="X3" s="6" t="e">
        <f>VALUE(SUBSTITUTE(MID(SUBSTITUTE(D3,CHAR(10),""),FIND("ASR:",SUBSTITUTE(D3,CHAR(10),""))+4,FIND("V1:",SUBSTITUTE(D3,CHAR(10),""))-FIND("ASR:",SUBSTITUTE(D3,CHAR(10),""))-4),".",","))</f>
        <v>#VALUE!</v>
      </c>
      <c r="Y3" s="6" t="e">
        <f>VALUE(SUBSTITUTE(MID(SUBSTITUTE(E3,CHAR(10),""),FIND("ASR:",SUBSTITUTE(E3,CHAR(10),""))+4,FIND("V1:",SUBSTITUTE(E3,CHAR(10),""))-FIND("ASR:",SUBSTITUTE(E3,CHAR(10),""))-4),".",","))</f>
        <v>#VALUE!</v>
      </c>
      <c r="Z3" s="6" t="e">
        <f>VALUE(SUBSTITUTE(MID(SUBSTITUTE(F3,CHAR(10),""),FIND("ASR:",SUBSTITUTE(F3,CHAR(10),""))+4,FIND("V1:",SUBSTITUTE(F3,CHAR(10),""))-FIND("ASR:",SUBSTITUTE(F3,CHAR(10),""))-4),".",","))</f>
        <v>#VALUE!</v>
      </c>
      <c r="AA3" s="6" t="e">
        <f>VALUE(SUBSTITUTE(MID(SUBSTITUTE(G3,CHAR(10),""),FIND("ASR:",SUBSTITUTE(G3,CHAR(10),""))+4,FIND("V1:",SUBSTITUTE(G3,CHAR(10),""))-FIND("ASR:",SUBSTITUTE(G3,CHAR(10),""))-4),".",","))</f>
        <v>#VALUE!</v>
      </c>
      <c r="AB3" s="6" t="e">
        <f>VALUE(SUBSTITUTE(MID(SUBSTITUTE(H3,CHAR(10),""),FIND("ASR:",SUBSTITUTE(H3,CHAR(10),""))+4,FIND("V1:",SUBSTITUTE(H3,CHAR(10),""))-FIND("ASR:",SUBSTITUTE(H3,CHAR(10),""))-4),".",","))</f>
        <v>#VALUE!</v>
      </c>
      <c r="AC3" s="6" t="e">
        <f>VALUE(SUBSTITUTE(MID(SUBSTITUTE(I3,CHAR(10),""),FIND("ASR:",SUBSTITUTE(I3,CHAR(10),""))+4,FIND("V1:",SUBSTITUTE(I3,CHAR(10),""))-FIND("ASR:",SUBSTITUTE(I3,CHAR(10),""))-4),".",","))</f>
        <v>#VALUE!</v>
      </c>
    </row>
    <row r="4" ht="28.5">
      <c r="A4" s="2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/>
      <c r="K4" s="5" t="e">
        <f>AVERAGE(V4:AC4)</f>
        <v>#VALUE!</v>
      </c>
      <c r="L4" s="1"/>
      <c r="M4" s="1">
        <f>SUM(VALUE(MID(SUBSTITUTE(B4,CHAR(10),""),FIND("V1:",SUBSTITUTE(B4,CHAR(10),""))+3,FIND("V2:",SUBSTITUTE(B4,CHAR(10),""))-FIND("V1:",SUBSTITUTE(B4,CHAR(10),""))-3)),VALUE(MID(SUBSTITUTE(B4,CHAR(10),""),FIND("V2:",SUBSTITUTE(B4,CHAR(10),""))+3,FIND("Vties:",SUBSTITUTE(B4,CHAR(10),""))-FIND("V2:",SUBSTITUTE(B4,CHAR(10),""))-3)),VALUE(MID(SUBSTITUTE(B4,CHAR(10),""),FIND("Vties:",SUBSTITUTE(B4,CHAR(10),""))+6,99)))</f>
        <v>142</v>
      </c>
      <c r="N4" s="1">
        <f>SUM(VALUE(MID(SUBSTITUTE(C4,CHAR(10),""),FIND("V1:",SUBSTITUTE(C4,CHAR(10),""))+3,FIND("V2:",SUBSTITUTE(C4,CHAR(10),""))-FIND("V1:",SUBSTITUTE(C4,CHAR(10),""))-3)),VALUE(MID(SUBSTITUTE(C4,CHAR(10),""),FIND("V2:",SUBSTITUTE(C4,CHAR(10),""))+3,FIND("Vties:",SUBSTITUTE(C4,CHAR(10),""))-FIND("V2:",SUBSTITUTE(C4,CHAR(10),""))-3)),VALUE(MID(SUBSTITUTE(C4,CHAR(10),""),FIND("Vties:",SUBSTITUTE(C4,CHAR(10),""))+6,99)))</f>
        <v>142</v>
      </c>
      <c r="O4" s="1">
        <f>SUM(VALUE(MID(SUBSTITUTE(D4,CHAR(10),""),FIND("V1:",SUBSTITUTE(D4,CHAR(10),""))+3,FIND("V2:",SUBSTITUTE(D4,CHAR(10),""))-FIND("V1:",SUBSTITUTE(D4,CHAR(10),""))-3)),VALUE(MID(SUBSTITUTE(D4,CHAR(10),""),FIND("V2:",SUBSTITUTE(D4,CHAR(10),""))+3,FIND("Vties:",SUBSTITUTE(D4,CHAR(10),""))-FIND("V2:",SUBSTITUTE(D4,CHAR(10),""))-3)),VALUE(MID(SUBSTITUTE(D4,CHAR(10),""),FIND("Vties:",SUBSTITUTE(D4,CHAR(10),""))+6,99)))</f>
        <v>142</v>
      </c>
      <c r="P4" s="1">
        <f>SUM(VALUE(MID(SUBSTITUTE(E4,CHAR(10),""),FIND("V1:",SUBSTITUTE(E4,CHAR(10),""))+3,FIND("V2:",SUBSTITUTE(E4,CHAR(10),""))-FIND("V1:",SUBSTITUTE(E4,CHAR(10),""))-3)),VALUE(MID(SUBSTITUTE(E4,CHAR(10),""),FIND("V2:",SUBSTITUTE(E4,CHAR(10),""))+3,FIND("Vties:",SUBSTITUTE(E4,CHAR(10),""))-FIND("V2:",SUBSTITUTE(E4,CHAR(10),""))-3)),VALUE(MID(SUBSTITUTE(E4,CHAR(10),""),FIND("Vties:",SUBSTITUTE(E4,CHAR(10),""))+6,99)))</f>
        <v>142</v>
      </c>
      <c r="Q4" s="1">
        <f>SUM(VALUE(MID(SUBSTITUTE(F4,CHAR(10),""),FIND("V1:",SUBSTITUTE(F4,CHAR(10),""))+3,FIND("V2:",SUBSTITUTE(F4,CHAR(10),""))-FIND("V1:",SUBSTITUTE(F4,CHAR(10),""))-3)),VALUE(MID(SUBSTITUTE(F4,CHAR(10),""),FIND("V2:",SUBSTITUTE(F4,CHAR(10),""))+3,FIND("Vties:",SUBSTITUTE(F4,CHAR(10),""))-FIND("V2:",SUBSTITUTE(F4,CHAR(10),""))-3)),VALUE(MID(SUBSTITUTE(F4,CHAR(10),""),FIND("Vties:",SUBSTITUTE(F4,CHAR(10),""))+6,99)))</f>
        <v>142</v>
      </c>
      <c r="R4" s="1">
        <f>SUM(VALUE(MID(SUBSTITUTE(G4,CHAR(10),""),FIND("V1:",SUBSTITUTE(G4,CHAR(10),""))+3,FIND("V2:",SUBSTITUTE(G4,CHAR(10),""))-FIND("V1:",SUBSTITUTE(G4,CHAR(10),""))-3)),VALUE(MID(SUBSTITUTE(G4,CHAR(10),""),FIND("V2:",SUBSTITUTE(G4,CHAR(10),""))+3,FIND("Vties:",SUBSTITUTE(G4,CHAR(10),""))-FIND("V2:",SUBSTITUTE(G4,CHAR(10),""))-3)),VALUE(MID(SUBSTITUTE(G4,CHAR(10),""),FIND("Vties:",SUBSTITUTE(G4,CHAR(10),""))+6,99)))</f>
        <v>142</v>
      </c>
      <c r="S4" s="1">
        <f>SUM(VALUE(MID(SUBSTITUTE(H4,CHAR(10),""),FIND("V1:",SUBSTITUTE(H4,CHAR(10),""))+3,FIND("V2:",SUBSTITUTE(H4,CHAR(10),""))-FIND("V1:",SUBSTITUTE(H4,CHAR(10),""))-3)),VALUE(MID(SUBSTITUTE(H4,CHAR(10),""),FIND("V2:",SUBSTITUTE(H4,CHAR(10),""))+3,FIND("Vties:",SUBSTITUTE(H4,CHAR(10),""))-FIND("V2:",SUBSTITUTE(H4,CHAR(10),""))-3)),VALUE(MID(SUBSTITUTE(H4,CHAR(10),""),FIND("Vties:",SUBSTITUTE(H4,CHAR(10),""))+6,99)))</f>
        <v>142</v>
      </c>
      <c r="T4" s="1">
        <f>SUM(VALUE(MID(SUBSTITUTE(I4,CHAR(10),""),FIND("V1:",SUBSTITUTE(I4,CHAR(10),""))+3,FIND("V2:",SUBSTITUTE(I4,CHAR(10),""))-FIND("V1:",SUBSTITUTE(I4,CHAR(10),""))-3)),VALUE(MID(SUBSTITUTE(I4,CHAR(10),""),FIND("V2:",SUBSTITUTE(I4,CHAR(10),""))+3,FIND("Vties:",SUBSTITUTE(I4,CHAR(10),""))-FIND("V2:",SUBSTITUTE(I4,CHAR(10),""))-3)),VALUE(MID(SUBSTITUTE(I4,CHAR(10),""),FIND("Vties:",SUBSTITUTE(I4,CHAR(10),""))+6,99)))</f>
        <v>142</v>
      </c>
      <c r="U4" s="6"/>
      <c r="V4" s="6" t="e">
        <f>VALUE(SUBSTITUTE(MID(SUBSTITUTE(B4,CHAR(10),""),FIND("ASR:",SUBSTITUTE(B4,CHAR(10),""))+4,FIND("V1:",SUBSTITUTE(B4,CHAR(10),""))-FIND("ASR:",SUBSTITUTE(B4,CHAR(10),""))-4),".",","))</f>
        <v>#VALUE!</v>
      </c>
      <c r="W4" s="6" t="e">
        <f>VALUE(SUBSTITUTE(MID(SUBSTITUTE(C4,CHAR(10),""),FIND("ASR:",SUBSTITUTE(C4,CHAR(10),""))+4,FIND("V1:",SUBSTITUTE(C4,CHAR(10),""))-FIND("ASR:",SUBSTITUTE(C4,CHAR(10),""))-4),".",","))</f>
        <v>#VALUE!</v>
      </c>
      <c r="X4" s="6" t="e">
        <f>VALUE(SUBSTITUTE(MID(SUBSTITUTE(D4,CHAR(10),""),FIND("ASR:",SUBSTITUTE(D4,CHAR(10),""))+4,FIND("V1:",SUBSTITUTE(D4,CHAR(10),""))-FIND("ASR:",SUBSTITUTE(D4,CHAR(10),""))-4),".",","))</f>
        <v>#VALUE!</v>
      </c>
      <c r="Y4" s="6" t="e">
        <f>VALUE(SUBSTITUTE(MID(SUBSTITUTE(E4,CHAR(10),""),FIND("ASR:",SUBSTITUTE(E4,CHAR(10),""))+4,FIND("V1:",SUBSTITUTE(E4,CHAR(10),""))-FIND("ASR:",SUBSTITUTE(E4,CHAR(10),""))-4),".",","))</f>
        <v>#VALUE!</v>
      </c>
      <c r="Z4" s="6" t="e">
        <f>VALUE(SUBSTITUTE(MID(SUBSTITUTE(F4,CHAR(10),""),FIND("ASR:",SUBSTITUTE(F4,CHAR(10),""))+4,FIND("V1:",SUBSTITUTE(F4,CHAR(10),""))-FIND("ASR:",SUBSTITUTE(F4,CHAR(10),""))-4),".",","))</f>
        <v>#VALUE!</v>
      </c>
      <c r="AA4" s="6" t="e">
        <f>VALUE(SUBSTITUTE(MID(SUBSTITUTE(G4,CHAR(10),""),FIND("ASR:",SUBSTITUTE(G4,CHAR(10),""))+4,FIND("V1:",SUBSTITUTE(G4,CHAR(10),""))-FIND("ASR:",SUBSTITUTE(G4,CHAR(10),""))-4),".",","))</f>
        <v>#VALUE!</v>
      </c>
      <c r="AB4" s="6" t="e">
        <f>VALUE(SUBSTITUTE(MID(SUBSTITUTE(H4,CHAR(10),""),FIND("ASR:",SUBSTITUTE(H4,CHAR(10),""))+4,FIND("V1:",SUBSTITUTE(H4,CHAR(10),""))-FIND("ASR:",SUBSTITUTE(H4,CHAR(10),""))-4),".",","))</f>
        <v>#VALUE!</v>
      </c>
      <c r="AC4" s="6" t="e">
        <f>VALUE(SUBSTITUTE(MID(SUBSTITUTE(I4,CHAR(10),""),FIND("ASR:",SUBSTITUTE(I4,CHAR(10),""))+4,FIND("V1:",SUBSTITUTE(I4,CHAR(10),""))-FIND("ASR:",SUBSTITUTE(I4,CHAR(10),""))-4),".",","))</f>
        <v>#VALUE!</v>
      </c>
    </row>
    <row r="5" ht="28.5">
      <c r="A5" s="2" t="s">
        <v>37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45</v>
      </c>
      <c r="J5" s="1"/>
      <c r="K5" s="5" t="e">
        <f>AVERAGE(V5:AC5)</f>
        <v>#VALUE!</v>
      </c>
      <c r="L5" s="1"/>
      <c r="M5" s="1">
        <f>SUM(VALUE(MID(SUBSTITUTE(B5,CHAR(10),""),FIND("V1:",SUBSTITUTE(B5,CHAR(10),""))+3,FIND("V2:",SUBSTITUTE(B5,CHAR(10),""))-FIND("V1:",SUBSTITUTE(B5,CHAR(10),""))-3)),VALUE(MID(SUBSTITUTE(B5,CHAR(10),""),FIND("V2:",SUBSTITUTE(B5,CHAR(10),""))+3,FIND("Vties:",SUBSTITUTE(B5,CHAR(10),""))-FIND("V2:",SUBSTITUTE(B5,CHAR(10),""))-3)),VALUE(MID(SUBSTITUTE(B5,CHAR(10),""),FIND("Vties:",SUBSTITUTE(B5,CHAR(10),""))+6,99)))</f>
        <v>142</v>
      </c>
      <c r="N5" s="1">
        <f>SUM(VALUE(MID(SUBSTITUTE(C5,CHAR(10),""),FIND("V1:",SUBSTITUTE(C5,CHAR(10),""))+3,FIND("V2:",SUBSTITUTE(C5,CHAR(10),""))-FIND("V1:",SUBSTITUTE(C5,CHAR(10),""))-3)),VALUE(MID(SUBSTITUTE(C5,CHAR(10),""),FIND("V2:",SUBSTITUTE(C5,CHAR(10),""))+3,FIND("Vties:",SUBSTITUTE(C5,CHAR(10),""))-FIND("V2:",SUBSTITUTE(C5,CHAR(10),""))-3)),VALUE(MID(SUBSTITUTE(C5,CHAR(10),""),FIND("Vties:",SUBSTITUTE(C5,CHAR(10),""))+6,99)))</f>
        <v>142</v>
      </c>
      <c r="O5" s="1">
        <f>SUM(VALUE(MID(SUBSTITUTE(D5,CHAR(10),""),FIND("V1:",SUBSTITUTE(D5,CHAR(10),""))+3,FIND("V2:",SUBSTITUTE(D5,CHAR(10),""))-FIND("V1:",SUBSTITUTE(D5,CHAR(10),""))-3)),VALUE(MID(SUBSTITUTE(D5,CHAR(10),""),FIND("V2:",SUBSTITUTE(D5,CHAR(10),""))+3,FIND("Vties:",SUBSTITUTE(D5,CHAR(10),""))-FIND("V2:",SUBSTITUTE(D5,CHAR(10),""))-3)),VALUE(MID(SUBSTITUTE(D5,CHAR(10),""),FIND("Vties:",SUBSTITUTE(D5,CHAR(10),""))+6,99)))</f>
        <v>142</v>
      </c>
      <c r="P5" s="1">
        <f>SUM(VALUE(MID(SUBSTITUTE(E5,CHAR(10),""),FIND("V1:",SUBSTITUTE(E5,CHAR(10),""))+3,FIND("V2:",SUBSTITUTE(E5,CHAR(10),""))-FIND("V1:",SUBSTITUTE(E5,CHAR(10),""))-3)),VALUE(MID(SUBSTITUTE(E5,CHAR(10),""),FIND("V2:",SUBSTITUTE(E5,CHAR(10),""))+3,FIND("Vties:",SUBSTITUTE(E5,CHAR(10),""))-FIND("V2:",SUBSTITUTE(E5,CHAR(10),""))-3)),VALUE(MID(SUBSTITUTE(E5,CHAR(10),""),FIND("Vties:",SUBSTITUTE(E5,CHAR(10),""))+6,99)))</f>
        <v>142</v>
      </c>
      <c r="Q5" s="1">
        <f>SUM(VALUE(MID(SUBSTITUTE(F5,CHAR(10),""),FIND("V1:",SUBSTITUTE(F5,CHAR(10),""))+3,FIND("V2:",SUBSTITUTE(F5,CHAR(10),""))-FIND("V1:",SUBSTITUTE(F5,CHAR(10),""))-3)),VALUE(MID(SUBSTITUTE(F5,CHAR(10),""),FIND("V2:",SUBSTITUTE(F5,CHAR(10),""))+3,FIND("Vties:",SUBSTITUTE(F5,CHAR(10),""))-FIND("V2:",SUBSTITUTE(F5,CHAR(10),""))-3)),VALUE(MID(SUBSTITUTE(F5,CHAR(10),""),FIND("Vties:",SUBSTITUTE(F5,CHAR(10),""))+6,99)))</f>
        <v>142</v>
      </c>
      <c r="R5" s="1">
        <f>SUM(VALUE(MID(SUBSTITUTE(G5,CHAR(10),""),FIND("V1:",SUBSTITUTE(G5,CHAR(10),""))+3,FIND("V2:",SUBSTITUTE(G5,CHAR(10),""))-FIND("V1:",SUBSTITUTE(G5,CHAR(10),""))-3)),VALUE(MID(SUBSTITUTE(G5,CHAR(10),""),FIND("V2:",SUBSTITUTE(G5,CHAR(10),""))+3,FIND("Vties:",SUBSTITUTE(G5,CHAR(10),""))-FIND("V2:",SUBSTITUTE(G5,CHAR(10),""))-3)),VALUE(MID(SUBSTITUTE(G5,CHAR(10),""),FIND("Vties:",SUBSTITUTE(G5,CHAR(10),""))+6,99)))</f>
        <v>142</v>
      </c>
      <c r="S5" s="1">
        <f>SUM(VALUE(MID(SUBSTITUTE(H5,CHAR(10),""),FIND("V1:",SUBSTITUTE(H5,CHAR(10),""))+3,FIND("V2:",SUBSTITUTE(H5,CHAR(10),""))-FIND("V1:",SUBSTITUTE(H5,CHAR(10),""))-3)),VALUE(MID(SUBSTITUTE(H5,CHAR(10),""),FIND("V2:",SUBSTITUTE(H5,CHAR(10),""))+3,FIND("Vties:",SUBSTITUTE(H5,CHAR(10),""))-FIND("V2:",SUBSTITUTE(H5,CHAR(10),""))-3)),VALUE(MID(SUBSTITUTE(H5,CHAR(10),""),FIND("Vties:",SUBSTITUTE(H5,CHAR(10),""))+6,99)))</f>
        <v>142</v>
      </c>
      <c r="T5" s="1">
        <f>SUM(VALUE(MID(SUBSTITUTE(I5,CHAR(10),""),FIND("V1:",SUBSTITUTE(I5,CHAR(10),""))+3,FIND("V2:",SUBSTITUTE(I5,CHAR(10),""))-FIND("V1:",SUBSTITUTE(I5,CHAR(10),""))-3)),VALUE(MID(SUBSTITUTE(I5,CHAR(10),""),FIND("V2:",SUBSTITUTE(I5,CHAR(10),""))+3,FIND("Vties:",SUBSTITUTE(I5,CHAR(10),""))-FIND("V2:",SUBSTITUTE(I5,CHAR(10),""))-3)),VALUE(MID(SUBSTITUTE(I5,CHAR(10),""),FIND("Vties:",SUBSTITUTE(I5,CHAR(10),""))+6,99)))</f>
        <v>141</v>
      </c>
      <c r="U5" s="6"/>
      <c r="V5" s="6" t="e">
        <f>VALUE(SUBSTITUTE(MID(SUBSTITUTE(B5,CHAR(10),""),FIND("ASR:",SUBSTITUTE(B5,CHAR(10),""))+4,FIND("V1:",SUBSTITUTE(B5,CHAR(10),""))-FIND("ASR:",SUBSTITUTE(B5,CHAR(10),""))-4),".",","))</f>
        <v>#VALUE!</v>
      </c>
      <c r="W5" s="6" t="e">
        <f>VALUE(SUBSTITUTE(MID(SUBSTITUTE(C5,CHAR(10),""),FIND("ASR:",SUBSTITUTE(C5,CHAR(10),""))+4,FIND("V1:",SUBSTITUTE(C5,CHAR(10),""))-FIND("ASR:",SUBSTITUTE(C5,CHAR(10),""))-4),".",","))</f>
        <v>#VALUE!</v>
      </c>
      <c r="X5" s="6" t="e">
        <f>VALUE(SUBSTITUTE(MID(SUBSTITUTE(D5,CHAR(10),""),FIND("ASR:",SUBSTITUTE(D5,CHAR(10),""))+4,FIND("V1:",SUBSTITUTE(D5,CHAR(10),""))-FIND("ASR:",SUBSTITUTE(D5,CHAR(10),""))-4),".",","))</f>
        <v>#VALUE!</v>
      </c>
      <c r="Y5" s="6" t="e">
        <f>VALUE(SUBSTITUTE(MID(SUBSTITUTE(E5,CHAR(10),""),FIND("ASR:",SUBSTITUTE(E5,CHAR(10),""))+4,FIND("V1:",SUBSTITUTE(E5,CHAR(10),""))-FIND("ASR:",SUBSTITUTE(E5,CHAR(10),""))-4),".",","))</f>
        <v>#VALUE!</v>
      </c>
      <c r="Z5" s="6" t="e">
        <f>VALUE(SUBSTITUTE(MID(SUBSTITUTE(F5,CHAR(10),""),FIND("ASR:",SUBSTITUTE(F5,CHAR(10),""))+4,FIND("V1:",SUBSTITUTE(F5,CHAR(10),""))-FIND("ASR:",SUBSTITUTE(F5,CHAR(10),""))-4),".",","))</f>
        <v>#VALUE!</v>
      </c>
      <c r="AA5" s="6" t="e">
        <f>VALUE(SUBSTITUTE(MID(SUBSTITUTE(G5,CHAR(10),""),FIND("ASR:",SUBSTITUTE(G5,CHAR(10),""))+4,FIND("V1:",SUBSTITUTE(G5,CHAR(10),""))-FIND("ASR:",SUBSTITUTE(G5,CHAR(10),""))-4),".",","))</f>
        <v>#VALUE!</v>
      </c>
      <c r="AB5" s="6" t="e">
        <f>VALUE(SUBSTITUTE(MID(SUBSTITUTE(H5,CHAR(10),""),FIND("ASR:",SUBSTITUTE(H5,CHAR(10),""))+4,FIND("V1:",SUBSTITUTE(H5,CHAR(10),""))-FIND("ASR:",SUBSTITUTE(H5,CHAR(10),""))-4),".",","))</f>
        <v>#VALUE!</v>
      </c>
      <c r="AC5" s="6" t="e">
        <f>VALUE(SUBSTITUTE(MID(SUBSTITUTE(I5,CHAR(10),""),FIND("ASR:",SUBSTITUTE(I5,CHAR(10),""))+4,FIND("V1:",SUBSTITUTE(I5,CHAR(10),""))-FIND("ASR:",SUBSTITUTE(I5,CHAR(10),""))-4),".",","))</f>
        <v>#VALUE!</v>
      </c>
    </row>
    <row r="6" ht="28.5">
      <c r="A6" s="2" t="s">
        <v>46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54</v>
      </c>
      <c r="J6" s="1"/>
      <c r="K6" s="5" t="e">
        <f>AVERAGE(V6:AC6)</f>
        <v>#VALUE!</v>
      </c>
      <c r="L6" s="1"/>
      <c r="M6" s="1">
        <f>SUM(VALUE(MID(SUBSTITUTE(B6,CHAR(10),""),FIND("V1:",SUBSTITUTE(B6,CHAR(10),""))+3,FIND("V2:",SUBSTITUTE(B6,CHAR(10),""))-FIND("V1:",SUBSTITUTE(B6,CHAR(10),""))-3)),VALUE(MID(SUBSTITUTE(B6,CHAR(10),""),FIND("V2:",SUBSTITUTE(B6,CHAR(10),""))+3,FIND("Vties:",SUBSTITUTE(B6,CHAR(10),""))-FIND("V2:",SUBSTITUTE(B6,CHAR(10),""))-3)),VALUE(MID(SUBSTITUTE(B6,CHAR(10),""),FIND("Vties:",SUBSTITUTE(B6,CHAR(10),""))+6,99)))</f>
        <v>142</v>
      </c>
      <c r="N6" s="1">
        <f>SUM(VALUE(MID(SUBSTITUTE(C6,CHAR(10),""),FIND("V1:",SUBSTITUTE(C6,CHAR(10),""))+3,FIND("V2:",SUBSTITUTE(C6,CHAR(10),""))-FIND("V1:",SUBSTITUTE(C6,CHAR(10),""))-3)),VALUE(MID(SUBSTITUTE(C6,CHAR(10),""),FIND("V2:",SUBSTITUTE(C6,CHAR(10),""))+3,FIND("Vties:",SUBSTITUTE(C6,CHAR(10),""))-FIND("V2:",SUBSTITUTE(C6,CHAR(10),""))-3)),VALUE(MID(SUBSTITUTE(C6,CHAR(10),""),FIND("Vties:",SUBSTITUTE(C6,CHAR(10),""))+6,99)))</f>
        <v>140</v>
      </c>
      <c r="O6" s="1">
        <f>SUM(VALUE(MID(SUBSTITUTE(D6,CHAR(10),""),FIND("V1:",SUBSTITUTE(D6,CHAR(10),""))+3,FIND("V2:",SUBSTITUTE(D6,CHAR(10),""))-FIND("V1:",SUBSTITUTE(D6,CHAR(10),""))-3)),VALUE(MID(SUBSTITUTE(D6,CHAR(10),""),FIND("V2:",SUBSTITUTE(D6,CHAR(10),""))+3,FIND("Vties:",SUBSTITUTE(D6,CHAR(10),""))-FIND("V2:",SUBSTITUTE(D6,CHAR(10),""))-3)),VALUE(MID(SUBSTITUTE(D6,CHAR(10),""),FIND("Vties:",SUBSTITUTE(D6,CHAR(10),""))+6,99)))</f>
        <v>142</v>
      </c>
      <c r="P6" s="1">
        <f>SUM(VALUE(MID(SUBSTITUTE(E6,CHAR(10),""),FIND("V1:",SUBSTITUTE(E6,CHAR(10),""))+3,FIND("V2:",SUBSTITUTE(E6,CHAR(10),""))-FIND("V1:",SUBSTITUTE(E6,CHAR(10),""))-3)),VALUE(MID(SUBSTITUTE(E6,CHAR(10),""),FIND("V2:",SUBSTITUTE(E6,CHAR(10),""))+3,FIND("Vties:",SUBSTITUTE(E6,CHAR(10),""))-FIND("V2:",SUBSTITUTE(E6,CHAR(10),""))-3)),VALUE(MID(SUBSTITUTE(E6,CHAR(10),""),FIND("Vties:",SUBSTITUTE(E6,CHAR(10),""))+6,99)))</f>
        <v>142</v>
      </c>
      <c r="Q6" s="1">
        <f>SUM(VALUE(MID(SUBSTITUTE(F6,CHAR(10),""),FIND("V1:",SUBSTITUTE(F6,CHAR(10),""))+3,FIND("V2:",SUBSTITUTE(F6,CHAR(10),""))-FIND("V1:",SUBSTITUTE(F6,CHAR(10),""))-3)),VALUE(MID(SUBSTITUTE(F6,CHAR(10),""),FIND("V2:",SUBSTITUTE(F6,CHAR(10),""))+3,FIND("Vties:",SUBSTITUTE(F6,CHAR(10),""))-FIND("V2:",SUBSTITUTE(F6,CHAR(10),""))-3)),VALUE(MID(SUBSTITUTE(F6,CHAR(10),""),FIND("Vties:",SUBSTITUTE(F6,CHAR(10),""))+6,99)))</f>
        <v>140</v>
      </c>
      <c r="R6" s="1">
        <f>SUM(VALUE(MID(SUBSTITUTE(G6,CHAR(10),""),FIND("V1:",SUBSTITUTE(G6,CHAR(10),""))+3,FIND("V2:",SUBSTITUTE(G6,CHAR(10),""))-FIND("V1:",SUBSTITUTE(G6,CHAR(10),""))-3)),VALUE(MID(SUBSTITUTE(G6,CHAR(10),""),FIND("V2:",SUBSTITUTE(G6,CHAR(10),""))+3,FIND("Vties:",SUBSTITUTE(G6,CHAR(10),""))-FIND("V2:",SUBSTITUTE(G6,CHAR(10),""))-3)),VALUE(MID(SUBSTITUTE(G6,CHAR(10),""),FIND("Vties:",SUBSTITUTE(G6,CHAR(10),""))+6,99)))</f>
        <v>142</v>
      </c>
      <c r="S6" s="1">
        <f>SUM(VALUE(MID(SUBSTITUTE(H6,CHAR(10),""),FIND("V1:",SUBSTITUTE(H6,CHAR(10),""))+3,FIND("V2:",SUBSTITUTE(H6,CHAR(10),""))-FIND("V1:",SUBSTITUTE(H6,CHAR(10),""))-3)),VALUE(MID(SUBSTITUTE(H6,CHAR(10),""),FIND("V2:",SUBSTITUTE(H6,CHAR(10),""))+3,FIND("Vties:",SUBSTITUTE(H6,CHAR(10),""))-FIND("V2:",SUBSTITUTE(H6,CHAR(10),""))-3)),VALUE(MID(SUBSTITUTE(H6,CHAR(10),""),FIND("Vties:",SUBSTITUTE(H6,CHAR(10),""))+6,99)))</f>
        <v>139</v>
      </c>
      <c r="T6" s="1">
        <f>SUM(VALUE(MID(SUBSTITUTE(I6,CHAR(10),""),FIND("V1:",SUBSTITUTE(I6,CHAR(10),""))+3,FIND("V2:",SUBSTITUTE(I6,CHAR(10),""))-FIND("V1:",SUBSTITUTE(I6,CHAR(10),""))-3)),VALUE(MID(SUBSTITUTE(I6,CHAR(10),""),FIND("V2:",SUBSTITUTE(I6,CHAR(10),""))+3,FIND("Vties:",SUBSTITUTE(I6,CHAR(10),""))-FIND("V2:",SUBSTITUTE(I6,CHAR(10),""))-3)),VALUE(MID(SUBSTITUTE(I6,CHAR(10),""),FIND("Vties:",SUBSTITUTE(I6,CHAR(10),""))+6,99)))</f>
        <v>142</v>
      </c>
      <c r="U6" s="6"/>
      <c r="V6" s="6" t="e">
        <f>VALUE(SUBSTITUTE(MID(SUBSTITUTE(B6,CHAR(10),""),FIND("ASR:",SUBSTITUTE(B6,CHAR(10),""))+4,FIND("V1:",SUBSTITUTE(B6,CHAR(10),""))-FIND("ASR:",SUBSTITUTE(B6,CHAR(10),""))-4),".",","))</f>
        <v>#VALUE!</v>
      </c>
      <c r="W6" s="6" t="e">
        <f>VALUE(SUBSTITUTE(MID(SUBSTITUTE(C6,CHAR(10),""),FIND("ASR:",SUBSTITUTE(C6,CHAR(10),""))+4,FIND("V1:",SUBSTITUTE(C6,CHAR(10),""))-FIND("ASR:",SUBSTITUTE(C6,CHAR(10),""))-4),".",","))</f>
        <v>#VALUE!</v>
      </c>
      <c r="X6" s="6" t="e">
        <f>VALUE(SUBSTITUTE(MID(SUBSTITUTE(D6,CHAR(10),""),FIND("ASR:",SUBSTITUTE(D6,CHAR(10),""))+4,FIND("V1:",SUBSTITUTE(D6,CHAR(10),""))-FIND("ASR:",SUBSTITUTE(D6,CHAR(10),""))-4),".",","))</f>
        <v>#VALUE!</v>
      </c>
      <c r="Y6" s="6" t="e">
        <f>VALUE(SUBSTITUTE(MID(SUBSTITUTE(E6,CHAR(10),""),FIND("ASR:",SUBSTITUTE(E6,CHAR(10),""))+4,FIND("V1:",SUBSTITUTE(E6,CHAR(10),""))-FIND("ASR:",SUBSTITUTE(E6,CHAR(10),""))-4),".",","))</f>
        <v>#VALUE!</v>
      </c>
      <c r="Z6" s="6" t="e">
        <f>VALUE(SUBSTITUTE(MID(SUBSTITUTE(F6,CHAR(10),""),FIND("ASR:",SUBSTITUTE(F6,CHAR(10),""))+4,FIND("V1:",SUBSTITUTE(F6,CHAR(10),""))-FIND("ASR:",SUBSTITUTE(F6,CHAR(10),""))-4),".",","))</f>
        <v>#VALUE!</v>
      </c>
      <c r="AA6" s="6" t="e">
        <f>VALUE(SUBSTITUTE(MID(SUBSTITUTE(G6,CHAR(10),""),FIND("ASR:",SUBSTITUTE(G6,CHAR(10),""))+4,FIND("V1:",SUBSTITUTE(G6,CHAR(10),""))-FIND("ASR:",SUBSTITUTE(G6,CHAR(10),""))-4),".",","))</f>
        <v>#VALUE!</v>
      </c>
      <c r="AB6" s="6" t="e">
        <f>VALUE(SUBSTITUTE(MID(SUBSTITUTE(H6,CHAR(10),""),FIND("ASR:",SUBSTITUTE(H6,CHAR(10),""))+4,FIND("V1:",SUBSTITUTE(H6,CHAR(10),""))-FIND("ASR:",SUBSTITUTE(H6,CHAR(10),""))-4),".",","))</f>
        <v>#VALUE!</v>
      </c>
      <c r="AC6" s="6" t="e">
        <f>VALUE(SUBSTITUTE(MID(SUBSTITUTE(I6,CHAR(10),""),FIND("ASR:",SUBSTITUTE(I6,CHAR(10),""))+4,FIND("V1:",SUBSTITUTE(I6,CHAR(10),""))-FIND("ASR:",SUBSTITUTE(I6,CHAR(10),""))-4),".",","))</f>
        <v>#VALUE!</v>
      </c>
    </row>
    <row r="7" ht="28.5">
      <c r="A7" s="2" t="s">
        <v>55</v>
      </c>
      <c r="B7" s="1" t="s">
        <v>56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62</v>
      </c>
      <c r="I7" s="1" t="s">
        <v>63</v>
      </c>
      <c r="J7" s="4"/>
      <c r="K7" s="5" t="e">
        <f>AVERAGE(V7:AC7)</f>
        <v>#VALUE!</v>
      </c>
      <c r="L7" s="1"/>
      <c r="M7" s="1">
        <f>SUM(VALUE(MID(SUBSTITUTE(B7,CHAR(10),""),FIND("V1:",SUBSTITUTE(B7,CHAR(10),""))+3,FIND("V2:",SUBSTITUTE(B7,CHAR(10),""))-FIND("V1:",SUBSTITUTE(B7,CHAR(10),""))-3)),VALUE(MID(SUBSTITUTE(B7,CHAR(10),""),FIND("V2:",SUBSTITUTE(B7,CHAR(10),""))+3,FIND("Vties:",SUBSTITUTE(B7,CHAR(10),""))-FIND("V2:",SUBSTITUTE(B7,CHAR(10),""))-3)),VALUE(MID(SUBSTITUTE(B7,CHAR(10),""),FIND("Vties:",SUBSTITUTE(B7,CHAR(10),""))+6,99)))</f>
        <v>142</v>
      </c>
      <c r="N7" s="1">
        <f>SUM(VALUE(MID(SUBSTITUTE(C7,CHAR(10),""),FIND("V1:",SUBSTITUTE(C7,CHAR(10),""))+3,FIND("V2:",SUBSTITUTE(C7,CHAR(10),""))-FIND("V1:",SUBSTITUTE(C7,CHAR(10),""))-3)),VALUE(MID(SUBSTITUTE(C7,CHAR(10),""),FIND("V2:",SUBSTITUTE(C7,CHAR(10),""))+3,FIND("Vties:",SUBSTITUTE(C7,CHAR(10),""))-FIND("V2:",SUBSTITUTE(C7,CHAR(10),""))-3)),VALUE(MID(SUBSTITUTE(C7,CHAR(10),""),FIND("Vties:",SUBSTITUTE(C7,CHAR(10),""))+6,99)))</f>
        <v>142</v>
      </c>
      <c r="O7" s="1">
        <f>SUM(VALUE(MID(SUBSTITUTE(D7,CHAR(10),""),FIND("V1:",SUBSTITUTE(D7,CHAR(10),""))+3,FIND("V2:",SUBSTITUTE(D7,CHAR(10),""))-FIND("V1:",SUBSTITUTE(D7,CHAR(10),""))-3)),VALUE(MID(SUBSTITUTE(D7,CHAR(10),""),FIND("V2:",SUBSTITUTE(D7,CHAR(10),""))+3,FIND("Vties:",SUBSTITUTE(D7,CHAR(10),""))-FIND("V2:",SUBSTITUTE(D7,CHAR(10),""))-3)),VALUE(MID(SUBSTITUTE(D7,CHAR(10),""),FIND("Vties:",SUBSTITUTE(D7,CHAR(10),""))+6,99)))</f>
        <v>142</v>
      </c>
      <c r="P7" s="1">
        <f>SUM(VALUE(MID(SUBSTITUTE(E7,CHAR(10),""),FIND("V1:",SUBSTITUTE(E7,CHAR(10),""))+3,FIND("V2:",SUBSTITUTE(E7,CHAR(10),""))-FIND("V1:",SUBSTITUTE(E7,CHAR(10),""))-3)),VALUE(MID(SUBSTITUTE(E7,CHAR(10),""),FIND("V2:",SUBSTITUTE(E7,CHAR(10),""))+3,FIND("Vties:",SUBSTITUTE(E7,CHAR(10),""))-FIND("V2:",SUBSTITUTE(E7,CHAR(10),""))-3)),VALUE(MID(SUBSTITUTE(E7,CHAR(10),""),FIND("Vties:",SUBSTITUTE(E7,CHAR(10),""))+6,99)))</f>
        <v>142</v>
      </c>
      <c r="Q7" s="1">
        <f>SUM(VALUE(MID(SUBSTITUTE(F7,CHAR(10),""),FIND("V1:",SUBSTITUTE(F7,CHAR(10),""))+3,FIND("V2:",SUBSTITUTE(F7,CHAR(10),""))-FIND("V1:",SUBSTITUTE(F7,CHAR(10),""))-3)),VALUE(MID(SUBSTITUTE(F7,CHAR(10),""),FIND("V2:",SUBSTITUTE(F7,CHAR(10),""))+3,FIND("Vties:",SUBSTITUTE(F7,CHAR(10),""))-FIND("V2:",SUBSTITUTE(F7,CHAR(10),""))-3)),VALUE(MID(SUBSTITUTE(F7,CHAR(10),""),FIND("Vties:",SUBSTITUTE(F7,CHAR(10),""))+6,99)))</f>
        <v>142</v>
      </c>
      <c r="R7" s="1">
        <f>SUM(VALUE(MID(SUBSTITUTE(G7,CHAR(10),""),FIND("V1:",SUBSTITUTE(G7,CHAR(10),""))+3,FIND("V2:",SUBSTITUTE(G7,CHAR(10),""))-FIND("V1:",SUBSTITUTE(G7,CHAR(10),""))-3)),VALUE(MID(SUBSTITUTE(G7,CHAR(10),""),FIND("V2:",SUBSTITUTE(G7,CHAR(10),""))+3,FIND("Vties:",SUBSTITUTE(G7,CHAR(10),""))-FIND("V2:",SUBSTITUTE(G7,CHAR(10),""))-3)),VALUE(MID(SUBSTITUTE(G7,CHAR(10),""),FIND("Vties:",SUBSTITUTE(G7,CHAR(10),""))+6,99)))</f>
        <v>142</v>
      </c>
      <c r="S7" s="1">
        <f>SUM(VALUE(MID(SUBSTITUTE(H7,CHAR(10),""),FIND("V1:",SUBSTITUTE(H7,CHAR(10),""))+3,FIND("V2:",SUBSTITUTE(H7,CHAR(10),""))-FIND("V1:",SUBSTITUTE(H7,CHAR(10),""))-3)),VALUE(MID(SUBSTITUTE(H7,CHAR(10),""),FIND("V2:",SUBSTITUTE(H7,CHAR(10),""))+3,FIND("Vties:",SUBSTITUTE(H7,CHAR(10),""))-FIND("V2:",SUBSTITUTE(H7,CHAR(10),""))-3)),VALUE(MID(SUBSTITUTE(H7,CHAR(10),""),FIND("Vties:",SUBSTITUTE(H7,CHAR(10),""))+6,99)))</f>
        <v>142</v>
      </c>
      <c r="T7" s="1">
        <f>SUM(VALUE(MID(SUBSTITUTE(I7,CHAR(10),""),FIND("V1:",SUBSTITUTE(I7,CHAR(10),""))+3,FIND("V2:",SUBSTITUTE(I7,CHAR(10),""))-FIND("V1:",SUBSTITUTE(I7,CHAR(10),""))-3)),VALUE(MID(SUBSTITUTE(I7,CHAR(10),""),FIND("V2:",SUBSTITUTE(I7,CHAR(10),""))+3,FIND("Vties:",SUBSTITUTE(I7,CHAR(10),""))-FIND("V2:",SUBSTITUTE(I7,CHAR(10),""))-3)),VALUE(MID(SUBSTITUTE(I7,CHAR(10),""),FIND("Vties:",SUBSTITUTE(I7,CHAR(10),""))+6,99)))</f>
        <v>142</v>
      </c>
      <c r="U7" s="6"/>
      <c r="V7" s="6" t="e">
        <f>VALUE(SUBSTITUTE(MID(SUBSTITUTE(B7,CHAR(10),""),FIND("ASR:",SUBSTITUTE(B7,CHAR(10),""))+4,FIND("V1:",SUBSTITUTE(B7,CHAR(10),""))-FIND("ASR:",SUBSTITUTE(B7,CHAR(10),""))-4),".",","))</f>
        <v>#VALUE!</v>
      </c>
      <c r="W7" s="6" t="e">
        <f>VALUE(SUBSTITUTE(MID(SUBSTITUTE(C7,CHAR(10),""),FIND("ASR:",SUBSTITUTE(C7,CHAR(10),""))+4,FIND("V1:",SUBSTITUTE(C7,CHAR(10),""))-FIND("ASR:",SUBSTITUTE(C7,CHAR(10),""))-4),".",","))</f>
        <v>#VALUE!</v>
      </c>
      <c r="X7" s="6" t="e">
        <f>VALUE(SUBSTITUTE(MID(SUBSTITUTE(D7,CHAR(10),""),FIND("ASR:",SUBSTITUTE(D7,CHAR(10),""))+4,FIND("V1:",SUBSTITUTE(D7,CHAR(10),""))-FIND("ASR:",SUBSTITUTE(D7,CHAR(10),""))-4),".",","))</f>
        <v>#VALUE!</v>
      </c>
      <c r="Y7" s="6" t="e">
        <f>VALUE(SUBSTITUTE(MID(SUBSTITUTE(E7,CHAR(10),""),FIND("ASR:",SUBSTITUTE(E7,CHAR(10),""))+4,FIND("V1:",SUBSTITUTE(E7,CHAR(10),""))-FIND("ASR:",SUBSTITUTE(E7,CHAR(10),""))-4),".",","))</f>
        <v>#VALUE!</v>
      </c>
      <c r="Z7" s="6" t="e">
        <f>VALUE(SUBSTITUTE(MID(SUBSTITUTE(F7,CHAR(10),""),FIND("ASR:",SUBSTITUTE(F7,CHAR(10),""))+4,FIND("V1:",SUBSTITUTE(F7,CHAR(10),""))-FIND("ASR:",SUBSTITUTE(F7,CHAR(10),""))-4),".",","))</f>
        <v>#VALUE!</v>
      </c>
      <c r="AA7" s="6" t="e">
        <f>VALUE(SUBSTITUTE(MID(SUBSTITUTE(G7,CHAR(10),""),FIND("ASR:",SUBSTITUTE(G7,CHAR(10),""))+4,FIND("V1:",SUBSTITUTE(G7,CHAR(10),""))-FIND("ASR:",SUBSTITUTE(G7,CHAR(10),""))-4),".",","))</f>
        <v>#VALUE!</v>
      </c>
      <c r="AB7" s="6" t="e">
        <f>VALUE(SUBSTITUTE(MID(SUBSTITUTE(H7,CHAR(10),""),FIND("ASR:",SUBSTITUTE(H7,CHAR(10),""))+4,FIND("V1:",SUBSTITUTE(H7,CHAR(10),""))-FIND("ASR:",SUBSTITUTE(H7,CHAR(10),""))-4),".",","))</f>
        <v>#VALUE!</v>
      </c>
      <c r="AC7" s="6" t="e">
        <f>VALUE(SUBSTITUTE(MID(SUBSTITUTE(I7,CHAR(10),""),FIND("ASR:",SUBSTITUTE(I7,CHAR(10),""))+4,FIND("V1:",SUBSTITUTE(I7,CHAR(10),""))-FIND("ASR:",SUBSTITUTE(I7,CHAR(10),""))-4),".",","))</f>
        <v>#VALUE!</v>
      </c>
    </row>
    <row r="8" ht="28.5">
      <c r="A8" s="2" t="s">
        <v>64</v>
      </c>
      <c r="B8" s="1" t="s">
        <v>65</v>
      </c>
      <c r="C8" s="1" t="s">
        <v>66</v>
      </c>
      <c r="D8" s="1" t="s">
        <v>67</v>
      </c>
      <c r="E8" s="1" t="s">
        <v>68</v>
      </c>
      <c r="F8" s="1" t="s">
        <v>69</v>
      </c>
      <c r="G8" s="1" t="s">
        <v>70</v>
      </c>
      <c r="H8" s="1" t="s">
        <v>71</v>
      </c>
      <c r="I8" s="1" t="s">
        <v>72</v>
      </c>
      <c r="J8" s="4"/>
      <c r="K8" s="5" t="e">
        <f>AVERAGE(V8:AC8)</f>
        <v>#VALUE!</v>
      </c>
      <c r="L8" s="1"/>
      <c r="M8" s="1">
        <f>SUM(VALUE(MID(SUBSTITUTE(B8,CHAR(10),""),FIND("V1:",SUBSTITUTE(B8,CHAR(10),""))+3,FIND("V2:",SUBSTITUTE(B8,CHAR(10),""))-FIND("V1:",SUBSTITUTE(B8,CHAR(10),""))-3)),VALUE(MID(SUBSTITUTE(B8,CHAR(10),""),FIND("V2:",SUBSTITUTE(B8,CHAR(10),""))+3,FIND("Vties:",SUBSTITUTE(B8,CHAR(10),""))-FIND("V2:",SUBSTITUTE(B8,CHAR(10),""))-3)),VALUE(MID(SUBSTITUTE(B8,CHAR(10),""),FIND("Vties:",SUBSTITUTE(B8,CHAR(10),""))+6,99)))</f>
        <v>142</v>
      </c>
      <c r="N8" s="1">
        <f>SUM(VALUE(MID(SUBSTITUTE(C8,CHAR(10),""),FIND("V1:",SUBSTITUTE(C8,CHAR(10),""))+3,FIND("V2:",SUBSTITUTE(C8,CHAR(10),""))-FIND("V1:",SUBSTITUTE(C8,CHAR(10),""))-3)),VALUE(MID(SUBSTITUTE(C8,CHAR(10),""),FIND("V2:",SUBSTITUTE(C8,CHAR(10),""))+3,FIND("Vties:",SUBSTITUTE(C8,CHAR(10),""))-FIND("V2:",SUBSTITUTE(C8,CHAR(10),""))-3)),VALUE(MID(SUBSTITUTE(C8,CHAR(10),""),FIND("Vties:",SUBSTITUTE(C8,CHAR(10),""))+6,99)))</f>
        <v>142</v>
      </c>
      <c r="O8" s="1">
        <f>SUM(VALUE(MID(SUBSTITUTE(D8,CHAR(10),""),FIND("V1:",SUBSTITUTE(D8,CHAR(10),""))+3,FIND("V2:",SUBSTITUTE(D8,CHAR(10),""))-FIND("V1:",SUBSTITUTE(D8,CHAR(10),""))-3)),VALUE(MID(SUBSTITUTE(D8,CHAR(10),""),FIND("V2:",SUBSTITUTE(D8,CHAR(10),""))+3,FIND("Vties:",SUBSTITUTE(D8,CHAR(10),""))-FIND("V2:",SUBSTITUTE(D8,CHAR(10),""))-3)),VALUE(MID(SUBSTITUTE(D8,CHAR(10),""),FIND("Vties:",SUBSTITUTE(D8,CHAR(10),""))+6,99)))</f>
        <v>142</v>
      </c>
      <c r="P8" s="1">
        <f>SUM(VALUE(MID(SUBSTITUTE(E8,CHAR(10),""),FIND("V1:",SUBSTITUTE(E8,CHAR(10),""))+3,FIND("V2:",SUBSTITUTE(E8,CHAR(10),""))-FIND("V1:",SUBSTITUTE(E8,CHAR(10),""))-3)),VALUE(MID(SUBSTITUTE(E8,CHAR(10),""),FIND("V2:",SUBSTITUTE(E8,CHAR(10),""))+3,FIND("Vties:",SUBSTITUTE(E8,CHAR(10),""))-FIND("V2:",SUBSTITUTE(E8,CHAR(10),""))-3)),VALUE(MID(SUBSTITUTE(E8,CHAR(10),""),FIND("Vties:",SUBSTITUTE(E8,CHAR(10),""))+6,99)))</f>
        <v>142</v>
      </c>
      <c r="Q8" s="1">
        <f>SUM(VALUE(MID(SUBSTITUTE(F8,CHAR(10),""),FIND("V1:",SUBSTITUTE(F8,CHAR(10),""))+3,FIND("V2:",SUBSTITUTE(F8,CHAR(10),""))-FIND("V1:",SUBSTITUTE(F8,CHAR(10),""))-3)),VALUE(MID(SUBSTITUTE(F8,CHAR(10),""),FIND("V2:",SUBSTITUTE(F8,CHAR(10),""))+3,FIND("Vties:",SUBSTITUTE(F8,CHAR(10),""))-FIND("V2:",SUBSTITUTE(F8,CHAR(10),""))-3)),VALUE(MID(SUBSTITUTE(F8,CHAR(10),""),FIND("Vties:",SUBSTITUTE(F8,CHAR(10),""))+6,99)))</f>
        <v>142</v>
      </c>
      <c r="R8" s="1">
        <f>SUM(VALUE(MID(SUBSTITUTE(G8,CHAR(10),""),FIND("V1:",SUBSTITUTE(G8,CHAR(10),""))+3,FIND("V2:",SUBSTITUTE(G8,CHAR(10),""))-FIND("V1:",SUBSTITUTE(G8,CHAR(10),""))-3)),VALUE(MID(SUBSTITUTE(G8,CHAR(10),""),FIND("V2:",SUBSTITUTE(G8,CHAR(10),""))+3,FIND("Vties:",SUBSTITUTE(G8,CHAR(10),""))-FIND("V2:",SUBSTITUTE(G8,CHAR(10),""))-3)),VALUE(MID(SUBSTITUTE(G8,CHAR(10),""),FIND("Vties:",SUBSTITUTE(G8,CHAR(10),""))+6,99)))</f>
        <v>142</v>
      </c>
      <c r="S8" s="1">
        <f>SUM(VALUE(MID(SUBSTITUTE(H8,CHAR(10),""),FIND("V1:",SUBSTITUTE(H8,CHAR(10),""))+3,FIND("V2:",SUBSTITUTE(H8,CHAR(10),""))-FIND("V1:",SUBSTITUTE(H8,CHAR(10),""))-3)),VALUE(MID(SUBSTITUTE(H8,CHAR(10),""),FIND("V2:",SUBSTITUTE(H8,CHAR(10),""))+3,FIND("Vties:",SUBSTITUTE(H8,CHAR(10),""))-FIND("V2:",SUBSTITUTE(H8,CHAR(10),""))-3)),VALUE(MID(SUBSTITUTE(H8,CHAR(10),""),FIND("Vties:",SUBSTITUTE(H8,CHAR(10),""))+6,99)))</f>
        <v>142</v>
      </c>
      <c r="T8" s="1">
        <f>SUM(VALUE(MID(SUBSTITUTE(I8,CHAR(10),""),FIND("V1:",SUBSTITUTE(I8,CHAR(10),""))+3,FIND("V2:",SUBSTITUTE(I8,CHAR(10),""))-FIND("V1:",SUBSTITUTE(I8,CHAR(10),""))-3)),VALUE(MID(SUBSTITUTE(I8,CHAR(10),""),FIND("V2:",SUBSTITUTE(I8,CHAR(10),""))+3,FIND("Vties:",SUBSTITUTE(I8,CHAR(10),""))-FIND("V2:",SUBSTITUTE(I8,CHAR(10),""))-3)),VALUE(MID(SUBSTITUTE(I8,CHAR(10),""),FIND("Vties:",SUBSTITUTE(I8,CHAR(10),""))+6,99)))</f>
        <v>142</v>
      </c>
      <c r="U8" s="6"/>
      <c r="V8" s="6" t="e">
        <f>VALUE(SUBSTITUTE(MID(SUBSTITUTE(B8,CHAR(10),""),FIND("ASR:",SUBSTITUTE(B8,CHAR(10),""))+4,FIND("V1:",SUBSTITUTE(B8,CHAR(10),""))-FIND("ASR:",SUBSTITUTE(B8,CHAR(10),""))-4),".",","))</f>
        <v>#VALUE!</v>
      </c>
      <c r="W8" s="6" t="e">
        <f>VALUE(SUBSTITUTE(MID(SUBSTITUTE(C8,CHAR(10),""),FIND("ASR:",SUBSTITUTE(C8,CHAR(10),""))+4,FIND("V1:",SUBSTITUTE(C8,CHAR(10),""))-FIND("ASR:",SUBSTITUTE(C8,CHAR(10),""))-4),".",","))</f>
        <v>#VALUE!</v>
      </c>
      <c r="X8" s="6" t="e">
        <f>VALUE(SUBSTITUTE(MID(SUBSTITUTE(D8,CHAR(10),""),FIND("ASR:",SUBSTITUTE(D8,CHAR(10),""))+4,FIND("V1:",SUBSTITUTE(D8,CHAR(10),""))-FIND("ASR:",SUBSTITUTE(D8,CHAR(10),""))-4),".",","))</f>
        <v>#VALUE!</v>
      </c>
      <c r="Y8" s="6" t="e">
        <f>VALUE(SUBSTITUTE(MID(SUBSTITUTE(E8,CHAR(10),""),FIND("ASR:",SUBSTITUTE(E8,CHAR(10),""))+4,FIND("V1:",SUBSTITUTE(E8,CHAR(10),""))-FIND("ASR:",SUBSTITUTE(E8,CHAR(10),""))-4),".",","))</f>
        <v>#VALUE!</v>
      </c>
      <c r="Z8" s="6" t="e">
        <f>VALUE(SUBSTITUTE(MID(SUBSTITUTE(F8,CHAR(10),""),FIND("ASR:",SUBSTITUTE(F8,CHAR(10),""))+4,FIND("V1:",SUBSTITUTE(F8,CHAR(10),""))-FIND("ASR:",SUBSTITUTE(F8,CHAR(10),""))-4),".",","))</f>
        <v>#VALUE!</v>
      </c>
      <c r="AA8" s="6" t="e">
        <f>VALUE(SUBSTITUTE(MID(SUBSTITUTE(G8,CHAR(10),""),FIND("ASR:",SUBSTITUTE(G8,CHAR(10),""))+4,FIND("V1:",SUBSTITUTE(G8,CHAR(10),""))-FIND("ASR:",SUBSTITUTE(G8,CHAR(10),""))-4),".",","))</f>
        <v>#VALUE!</v>
      </c>
      <c r="AB8" s="6" t="e">
        <f>VALUE(SUBSTITUTE(MID(SUBSTITUTE(H8,CHAR(10),""),FIND("ASR:",SUBSTITUTE(H8,CHAR(10),""))+4,FIND("V1:",SUBSTITUTE(H8,CHAR(10),""))-FIND("ASR:",SUBSTITUTE(H8,CHAR(10),""))-4),".",","))</f>
        <v>#VALUE!</v>
      </c>
      <c r="AC8" s="6" t="e">
        <f>VALUE(SUBSTITUTE(MID(SUBSTITUTE(I8,CHAR(10),""),FIND("ASR:",SUBSTITUTE(I8,CHAR(10),""))+4,FIND("V1:",SUBSTITUTE(I8,CHAR(10),""))-FIND("ASR:",SUBSTITUTE(I8,CHAR(10),""))-4),".",","))</f>
        <v>#VALUE!</v>
      </c>
    </row>
    <row r="9" ht="28.5">
      <c r="A9" s="2" t="s">
        <v>73</v>
      </c>
      <c r="B9" s="1" t="s">
        <v>74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81</v>
      </c>
      <c r="J9" s="4"/>
      <c r="K9" s="5" t="e">
        <f>AVERAGE(V9:AC9)</f>
        <v>#VALUE!</v>
      </c>
      <c r="L9" s="1"/>
      <c r="M9" s="1">
        <f>SUM(VALUE(MID(SUBSTITUTE(B9,CHAR(10),""),FIND("V1:",SUBSTITUTE(B9,CHAR(10),""))+3,FIND("V2:",SUBSTITUTE(B9,CHAR(10),""))-FIND("V1:",SUBSTITUTE(B9,CHAR(10),""))-3)),VALUE(MID(SUBSTITUTE(B9,CHAR(10),""),FIND("V2:",SUBSTITUTE(B9,CHAR(10),""))+3,FIND("Vties:",SUBSTITUTE(B9,CHAR(10),""))-FIND("V2:",SUBSTITUTE(B9,CHAR(10),""))-3)),VALUE(MID(SUBSTITUTE(B9,CHAR(10),""),FIND("Vties:",SUBSTITUTE(B9,CHAR(10),""))+6,99)))</f>
        <v>142</v>
      </c>
      <c r="N9" s="1">
        <f>SUM(VALUE(MID(SUBSTITUTE(C9,CHAR(10),""),FIND("V1:",SUBSTITUTE(C9,CHAR(10),""))+3,FIND("V2:",SUBSTITUTE(C9,CHAR(10),""))-FIND("V1:",SUBSTITUTE(C9,CHAR(10),""))-3)),VALUE(MID(SUBSTITUTE(C9,CHAR(10),""),FIND("V2:",SUBSTITUTE(C9,CHAR(10),""))+3,FIND("Vties:",SUBSTITUTE(C9,CHAR(10),""))-FIND("V2:",SUBSTITUTE(C9,CHAR(10),""))-3)),VALUE(MID(SUBSTITUTE(C9,CHAR(10),""),FIND("Vties:",SUBSTITUTE(C9,CHAR(10),""))+6,99)))</f>
        <v>142</v>
      </c>
      <c r="O9" s="1">
        <f>SUM(VALUE(MID(SUBSTITUTE(D9,CHAR(10),""),FIND("V1:",SUBSTITUTE(D9,CHAR(10),""))+3,FIND("V2:",SUBSTITUTE(D9,CHAR(10),""))-FIND("V1:",SUBSTITUTE(D9,CHAR(10),""))-3)),VALUE(MID(SUBSTITUTE(D9,CHAR(10),""),FIND("V2:",SUBSTITUTE(D9,CHAR(10),""))+3,FIND("Vties:",SUBSTITUTE(D9,CHAR(10),""))-FIND("V2:",SUBSTITUTE(D9,CHAR(10),""))-3)),VALUE(MID(SUBSTITUTE(D9,CHAR(10),""),FIND("Vties:",SUBSTITUTE(D9,CHAR(10),""))+6,99)))</f>
        <v>142</v>
      </c>
      <c r="P9" s="1">
        <f>SUM(VALUE(MID(SUBSTITUTE(E9,CHAR(10),""),FIND("V1:",SUBSTITUTE(E9,CHAR(10),""))+3,FIND("V2:",SUBSTITUTE(E9,CHAR(10),""))-FIND("V1:",SUBSTITUTE(E9,CHAR(10),""))-3)),VALUE(MID(SUBSTITUTE(E9,CHAR(10),""),FIND("V2:",SUBSTITUTE(E9,CHAR(10),""))+3,FIND("Vties:",SUBSTITUTE(E9,CHAR(10),""))-FIND("V2:",SUBSTITUTE(E9,CHAR(10),""))-3)),VALUE(MID(SUBSTITUTE(E9,CHAR(10),""),FIND("Vties:",SUBSTITUTE(E9,CHAR(10),""))+6,99)))</f>
        <v>142</v>
      </c>
      <c r="Q9" s="1">
        <f>SUM(VALUE(MID(SUBSTITUTE(F9,CHAR(10),""),FIND("V1:",SUBSTITUTE(F9,CHAR(10),""))+3,FIND("V2:",SUBSTITUTE(F9,CHAR(10),""))-FIND("V1:",SUBSTITUTE(F9,CHAR(10),""))-3)),VALUE(MID(SUBSTITUTE(F9,CHAR(10),""),FIND("V2:",SUBSTITUTE(F9,CHAR(10),""))+3,FIND("Vties:",SUBSTITUTE(F9,CHAR(10),""))-FIND("V2:",SUBSTITUTE(F9,CHAR(10),""))-3)),VALUE(MID(SUBSTITUTE(F9,CHAR(10),""),FIND("Vties:",SUBSTITUTE(F9,CHAR(10),""))+6,99)))</f>
        <v>142</v>
      </c>
      <c r="R9" s="1">
        <f>SUM(VALUE(MID(SUBSTITUTE(G9,CHAR(10),""),FIND("V1:",SUBSTITUTE(G9,CHAR(10),""))+3,FIND("V2:",SUBSTITUTE(G9,CHAR(10),""))-FIND("V1:",SUBSTITUTE(G9,CHAR(10),""))-3)),VALUE(MID(SUBSTITUTE(G9,CHAR(10),""),FIND("V2:",SUBSTITUTE(G9,CHAR(10),""))+3,FIND("Vties:",SUBSTITUTE(G9,CHAR(10),""))-FIND("V2:",SUBSTITUTE(G9,CHAR(10),""))-3)),VALUE(MID(SUBSTITUTE(G9,CHAR(10),""),FIND("Vties:",SUBSTITUTE(G9,CHAR(10),""))+6,99)))</f>
        <v>142</v>
      </c>
      <c r="S9" s="1">
        <f>SUM(VALUE(MID(SUBSTITUTE(H9,CHAR(10),""),FIND("V1:",SUBSTITUTE(H9,CHAR(10),""))+3,FIND("V2:",SUBSTITUTE(H9,CHAR(10),""))-FIND("V1:",SUBSTITUTE(H9,CHAR(10),""))-3)),VALUE(MID(SUBSTITUTE(H9,CHAR(10),""),FIND("V2:",SUBSTITUTE(H9,CHAR(10),""))+3,FIND("Vties:",SUBSTITUTE(H9,CHAR(10),""))-FIND("V2:",SUBSTITUTE(H9,CHAR(10),""))-3)),VALUE(MID(SUBSTITUTE(H9,CHAR(10),""),FIND("Vties:",SUBSTITUTE(H9,CHAR(10),""))+6,99)))</f>
        <v>142</v>
      </c>
      <c r="T9" s="1">
        <f>SUM(VALUE(MID(SUBSTITUTE(I9,CHAR(10),""),FIND("V1:",SUBSTITUTE(I9,CHAR(10),""))+3,FIND("V2:",SUBSTITUTE(I9,CHAR(10),""))-FIND("V1:",SUBSTITUTE(I9,CHAR(10),""))-3)),VALUE(MID(SUBSTITUTE(I9,CHAR(10),""),FIND("V2:",SUBSTITUTE(I9,CHAR(10),""))+3,FIND("Vties:",SUBSTITUTE(I9,CHAR(10),""))-FIND("V2:",SUBSTITUTE(I9,CHAR(10),""))-3)),VALUE(MID(SUBSTITUTE(I9,CHAR(10),""),FIND("Vties:",SUBSTITUTE(I9,CHAR(10),""))+6,99)))</f>
        <v>141</v>
      </c>
      <c r="U9" s="6"/>
      <c r="V9" s="6" t="e">
        <f>VALUE(SUBSTITUTE(MID(SUBSTITUTE(B9,CHAR(10),""),FIND("ASR:",SUBSTITUTE(B9,CHAR(10),""))+4,FIND("V1:",SUBSTITUTE(B9,CHAR(10),""))-FIND("ASR:",SUBSTITUTE(B9,CHAR(10),""))-4),".",","))</f>
        <v>#VALUE!</v>
      </c>
      <c r="W9" s="6" t="e">
        <f>VALUE(SUBSTITUTE(MID(SUBSTITUTE(C9,CHAR(10),""),FIND("ASR:",SUBSTITUTE(C9,CHAR(10),""))+4,FIND("V1:",SUBSTITUTE(C9,CHAR(10),""))-FIND("ASR:",SUBSTITUTE(C9,CHAR(10),""))-4),".",","))</f>
        <v>#VALUE!</v>
      </c>
      <c r="X9" s="6" t="e">
        <f>VALUE(SUBSTITUTE(MID(SUBSTITUTE(D9,CHAR(10),""),FIND("ASR:",SUBSTITUTE(D9,CHAR(10),""))+4,FIND("V1:",SUBSTITUTE(D9,CHAR(10),""))-FIND("ASR:",SUBSTITUTE(D9,CHAR(10),""))-4),".",","))</f>
        <v>#VALUE!</v>
      </c>
      <c r="Y9" s="6" t="e">
        <f>VALUE(SUBSTITUTE(MID(SUBSTITUTE(E9,CHAR(10),""),FIND("ASR:",SUBSTITUTE(E9,CHAR(10),""))+4,FIND("V1:",SUBSTITUTE(E9,CHAR(10),""))-FIND("ASR:",SUBSTITUTE(E9,CHAR(10),""))-4),".",","))</f>
        <v>#VALUE!</v>
      </c>
      <c r="Z9" s="6" t="e">
        <f>VALUE(SUBSTITUTE(MID(SUBSTITUTE(F9,CHAR(10),""),FIND("ASR:",SUBSTITUTE(F9,CHAR(10),""))+4,FIND("V1:",SUBSTITUTE(F9,CHAR(10),""))-FIND("ASR:",SUBSTITUTE(F9,CHAR(10),""))-4),".",","))</f>
        <v>#VALUE!</v>
      </c>
      <c r="AA9" s="6" t="e">
        <f>VALUE(SUBSTITUTE(MID(SUBSTITUTE(G9,CHAR(10),""),FIND("ASR:",SUBSTITUTE(G9,CHAR(10),""))+4,FIND("V1:",SUBSTITUTE(G9,CHAR(10),""))-FIND("ASR:",SUBSTITUTE(G9,CHAR(10),""))-4),".",","))</f>
        <v>#VALUE!</v>
      </c>
      <c r="AB9" s="6" t="e">
        <f>VALUE(SUBSTITUTE(MID(SUBSTITUTE(H9,CHAR(10),""),FIND("ASR:",SUBSTITUTE(H9,CHAR(10),""))+4,FIND("V1:",SUBSTITUTE(H9,CHAR(10),""))-FIND("ASR:",SUBSTITUTE(H9,CHAR(10),""))-4),".",","))</f>
        <v>#VALUE!</v>
      </c>
      <c r="AC9" s="6" t="e">
        <f>VALUE(SUBSTITUTE(MID(SUBSTITUTE(I9,CHAR(10),""),FIND("ASR:",SUBSTITUTE(I9,CHAR(10),""))+4,FIND("V1:",SUBSTITUTE(I9,CHAR(10),""))-FIND("ASR:",SUBSTITUTE(I9,CHAR(10),""))-4),".",","))</f>
        <v>#VALUE!</v>
      </c>
    </row>
    <row r="10" ht="28.5">
      <c r="A10" s="2" t="s">
        <v>82</v>
      </c>
      <c r="B10" s="1" t="s">
        <v>83</v>
      </c>
      <c r="C10" s="1" t="s">
        <v>84</v>
      </c>
      <c r="D10" s="1" t="s">
        <v>85</v>
      </c>
      <c r="E10" s="1" t="s">
        <v>86</v>
      </c>
      <c r="F10" s="1" t="s">
        <v>87</v>
      </c>
      <c r="G10" s="1" t="s">
        <v>88</v>
      </c>
      <c r="H10" s="1" t="s">
        <v>89</v>
      </c>
      <c r="I10" s="1" t="s">
        <v>90</v>
      </c>
      <c r="J10" s="4"/>
      <c r="K10" s="5" t="e">
        <f>AVERAGE(V10:AC10)</f>
        <v>#VALUE!</v>
      </c>
      <c r="L10" s="1"/>
      <c r="M10" s="1">
        <f>SUM(VALUE(MID(SUBSTITUTE(B10,CHAR(10),""),FIND("V1:",SUBSTITUTE(B10,CHAR(10),""))+3,FIND("V2:",SUBSTITUTE(B10,CHAR(10),""))-FIND("V1:",SUBSTITUTE(B10,CHAR(10),""))-3)),VALUE(MID(SUBSTITUTE(B10,CHAR(10),""),FIND("V2:",SUBSTITUTE(B10,CHAR(10),""))+3,FIND("Vties:",SUBSTITUTE(B10,CHAR(10),""))-FIND("V2:",SUBSTITUTE(B10,CHAR(10),""))-3)),VALUE(MID(SUBSTITUTE(B10,CHAR(10),""),FIND("Vties:",SUBSTITUTE(B10,CHAR(10),""))+6,99)))</f>
        <v>135</v>
      </c>
      <c r="N10" s="1">
        <f>SUM(VALUE(MID(SUBSTITUTE(C10,CHAR(10),""),FIND("V1:",SUBSTITUTE(C10,CHAR(10),""))+3,FIND("V2:",SUBSTITUTE(C10,CHAR(10),""))-FIND("V1:",SUBSTITUTE(C10,CHAR(10),""))-3)),VALUE(MID(SUBSTITUTE(C10,CHAR(10),""),FIND("V2:",SUBSTITUTE(C10,CHAR(10),""))+3,FIND("Vties:",SUBSTITUTE(C10,CHAR(10),""))-FIND("V2:",SUBSTITUTE(C10,CHAR(10),""))-3)),VALUE(MID(SUBSTITUTE(C10,CHAR(10),""),FIND("Vties:",SUBSTITUTE(C10,CHAR(10),""))+6,99)))</f>
        <v>141</v>
      </c>
      <c r="O10" s="1">
        <f>SUM(VALUE(MID(SUBSTITUTE(D10,CHAR(10),""),FIND("V1:",SUBSTITUTE(D10,CHAR(10),""))+3,FIND("V2:",SUBSTITUTE(D10,CHAR(10),""))-FIND("V1:",SUBSTITUTE(D10,CHAR(10),""))-3)),VALUE(MID(SUBSTITUTE(D10,CHAR(10),""),FIND("V2:",SUBSTITUTE(D10,CHAR(10),""))+3,FIND("Vties:",SUBSTITUTE(D10,CHAR(10),""))-FIND("V2:",SUBSTITUTE(D10,CHAR(10),""))-3)),VALUE(MID(SUBSTITUTE(D10,CHAR(10),""),FIND("Vties:",SUBSTITUTE(D10,CHAR(10),""))+6,99)))</f>
        <v>135</v>
      </c>
      <c r="P10" s="1">
        <f>SUM(VALUE(MID(SUBSTITUTE(E10,CHAR(10),""),FIND("V1:",SUBSTITUTE(E10,CHAR(10),""))+3,FIND("V2:",SUBSTITUTE(E10,CHAR(10),""))-FIND("V1:",SUBSTITUTE(E10,CHAR(10),""))-3)),VALUE(MID(SUBSTITUTE(E10,CHAR(10),""),FIND("V2:",SUBSTITUTE(E10,CHAR(10),""))+3,FIND("Vties:",SUBSTITUTE(E10,CHAR(10),""))-FIND("V2:",SUBSTITUTE(E10,CHAR(10),""))-3)),VALUE(MID(SUBSTITUTE(E10,CHAR(10),""),FIND("Vties:",SUBSTITUTE(E10,CHAR(10),""))+6,99)))</f>
        <v>137</v>
      </c>
      <c r="Q10" s="1">
        <f>SUM(VALUE(MID(SUBSTITUTE(F10,CHAR(10),""),FIND("V1:",SUBSTITUTE(F10,CHAR(10),""))+3,FIND("V2:",SUBSTITUTE(F10,CHAR(10),""))-FIND("V1:",SUBSTITUTE(F10,CHAR(10),""))-3)),VALUE(MID(SUBSTITUTE(F10,CHAR(10),""),FIND("V2:",SUBSTITUTE(F10,CHAR(10),""))+3,FIND("Vties:",SUBSTITUTE(F10,CHAR(10),""))-FIND("V2:",SUBSTITUTE(F10,CHAR(10),""))-3)),VALUE(MID(SUBSTITUTE(F10,CHAR(10),""),FIND("Vties:",SUBSTITUTE(F10,CHAR(10),""))+6,99)))</f>
        <v>138</v>
      </c>
      <c r="R10" s="1">
        <f>SUM(VALUE(MID(SUBSTITUTE(G10,CHAR(10),""),FIND("V1:",SUBSTITUTE(G10,CHAR(10),""))+3,FIND("V2:",SUBSTITUTE(G10,CHAR(10),""))-FIND("V1:",SUBSTITUTE(G10,CHAR(10),""))-3)),VALUE(MID(SUBSTITUTE(G10,CHAR(10),""),FIND("V2:",SUBSTITUTE(G10,CHAR(10),""))+3,FIND("Vties:",SUBSTITUTE(G10,CHAR(10),""))-FIND("V2:",SUBSTITUTE(G10,CHAR(10),""))-3)),VALUE(MID(SUBSTITUTE(G10,CHAR(10),""),FIND("Vties:",SUBSTITUTE(G10,CHAR(10),""))+6,99)))</f>
        <v>139</v>
      </c>
      <c r="S10" s="1">
        <f>SUM(VALUE(MID(SUBSTITUTE(H10,CHAR(10),""),FIND("V1:",SUBSTITUTE(H10,CHAR(10),""))+3,FIND("V2:",SUBSTITUTE(H10,CHAR(10),""))-FIND("V1:",SUBSTITUTE(H10,CHAR(10),""))-3)),VALUE(MID(SUBSTITUTE(H10,CHAR(10),""),FIND("V2:",SUBSTITUTE(H10,CHAR(10),""))+3,FIND("Vties:",SUBSTITUTE(H10,CHAR(10),""))-FIND("V2:",SUBSTITUTE(H10,CHAR(10),""))-3)),VALUE(MID(SUBSTITUTE(H10,CHAR(10),""),FIND("Vties:",SUBSTITUTE(H10,CHAR(10),""))+6,99)))</f>
        <v>134</v>
      </c>
      <c r="T10" s="1">
        <f>SUM(VALUE(MID(SUBSTITUTE(I10,CHAR(10),""),FIND("V1:",SUBSTITUTE(I10,CHAR(10),""))+3,FIND("V2:",SUBSTITUTE(I10,CHAR(10),""))-FIND("V1:",SUBSTITUTE(I10,CHAR(10),""))-3)),VALUE(MID(SUBSTITUTE(I10,CHAR(10),""),FIND("V2:",SUBSTITUTE(I10,CHAR(10),""))+3,FIND("Vties:",SUBSTITUTE(I10,CHAR(10),""))-FIND("V2:",SUBSTITUTE(I10,CHAR(10),""))-3)),VALUE(MID(SUBSTITUTE(I10,CHAR(10),""),FIND("Vties:",SUBSTITUTE(I10,CHAR(10),""))+6,99)))</f>
        <v>138</v>
      </c>
      <c r="U10" s="6"/>
      <c r="V10" s="6" t="e">
        <f>VALUE(SUBSTITUTE(MID(SUBSTITUTE(B10,CHAR(10),""),FIND("ASR:",SUBSTITUTE(B10,CHAR(10),""))+4,FIND("V1:",SUBSTITUTE(B10,CHAR(10),""))-FIND("ASR:",SUBSTITUTE(B10,CHAR(10),""))-4),".",","))</f>
        <v>#VALUE!</v>
      </c>
      <c r="W10" s="6" t="e">
        <f>VALUE(SUBSTITUTE(MID(SUBSTITUTE(C10,CHAR(10),""),FIND("ASR:",SUBSTITUTE(C10,CHAR(10),""))+4,FIND("V1:",SUBSTITUTE(C10,CHAR(10),""))-FIND("ASR:",SUBSTITUTE(C10,CHAR(10),""))-4),".",","))</f>
        <v>#VALUE!</v>
      </c>
      <c r="X10" s="6" t="e">
        <f>VALUE(SUBSTITUTE(MID(SUBSTITUTE(D10,CHAR(10),""),FIND("ASR:",SUBSTITUTE(D10,CHAR(10),""))+4,FIND("V1:",SUBSTITUTE(D10,CHAR(10),""))-FIND("ASR:",SUBSTITUTE(D10,CHAR(10),""))-4),".",","))</f>
        <v>#VALUE!</v>
      </c>
      <c r="Y10" s="6" t="e">
        <f>VALUE(SUBSTITUTE(MID(SUBSTITUTE(E10,CHAR(10),""),FIND("ASR:",SUBSTITUTE(E10,CHAR(10),""))+4,FIND("V1:",SUBSTITUTE(E10,CHAR(10),""))-FIND("ASR:",SUBSTITUTE(E10,CHAR(10),""))-4),".",","))</f>
        <v>#VALUE!</v>
      </c>
      <c r="Z10" s="6" t="e">
        <f>VALUE(SUBSTITUTE(MID(SUBSTITUTE(F10,CHAR(10),""),FIND("ASR:",SUBSTITUTE(F10,CHAR(10),""))+4,FIND("V1:",SUBSTITUTE(F10,CHAR(10),""))-FIND("ASR:",SUBSTITUTE(F10,CHAR(10),""))-4),".",","))</f>
        <v>#VALUE!</v>
      </c>
      <c r="AA10" s="6" t="e">
        <f>VALUE(SUBSTITUTE(MID(SUBSTITUTE(G10,CHAR(10),""),FIND("ASR:",SUBSTITUTE(G10,CHAR(10),""))+4,FIND("V1:",SUBSTITUTE(G10,CHAR(10),""))-FIND("ASR:",SUBSTITUTE(G10,CHAR(10),""))-4),".",","))</f>
        <v>#VALUE!</v>
      </c>
      <c r="AB10" s="6" t="e">
        <f>VALUE(SUBSTITUTE(MID(SUBSTITUTE(H10,CHAR(10),""),FIND("ASR:",SUBSTITUTE(H10,CHAR(10),""))+4,FIND("V1:",SUBSTITUTE(H10,CHAR(10),""))-FIND("ASR:",SUBSTITUTE(H10,CHAR(10),""))-4),".",","))</f>
        <v>#VALUE!</v>
      </c>
      <c r="AC10" s="6" t="e">
        <f>VALUE(SUBSTITUTE(MID(SUBSTITUTE(I10,CHAR(10),""),FIND("ASR:",SUBSTITUTE(I10,CHAR(10),""))+4,FIND("V1:",SUBSTITUTE(I10,CHAR(10),""))-FIND("ASR:",SUBSTITUTE(I10,CHAR(10),""))-4),".",","))</f>
        <v>#VALUE!</v>
      </c>
    </row>
    <row r="11" ht="28.5">
      <c r="A11" s="2" t="s">
        <v>91</v>
      </c>
      <c r="B11" s="1" t="s">
        <v>92</v>
      </c>
      <c r="C11" s="1" t="s">
        <v>93</v>
      </c>
      <c r="D11" s="1" t="s">
        <v>94</v>
      </c>
      <c r="E11" s="1" t="s">
        <v>95</v>
      </c>
      <c r="F11" s="1" t="s">
        <v>96</v>
      </c>
      <c r="G11" s="1" t="s">
        <v>97</v>
      </c>
      <c r="H11" s="1" t="s">
        <v>98</v>
      </c>
      <c r="I11" s="1" t="s">
        <v>99</v>
      </c>
      <c r="J11" s="4"/>
      <c r="K11" s="5" t="e">
        <f>AVERAGE(V11:AC11)</f>
        <v>#VALUE!</v>
      </c>
      <c r="L11" s="1"/>
      <c r="M11" s="1">
        <f>SUM(VALUE(MID(SUBSTITUTE(B11,CHAR(10),""),FIND("V1:",SUBSTITUTE(B11,CHAR(10),""))+3,FIND("V2:",SUBSTITUTE(B11,CHAR(10),""))-FIND("V1:",SUBSTITUTE(B11,CHAR(10),""))-3)),VALUE(MID(SUBSTITUTE(B11,CHAR(10),""),FIND("V2:",SUBSTITUTE(B11,CHAR(10),""))+3,FIND("Vties:",SUBSTITUTE(B11,CHAR(10),""))-FIND("V2:",SUBSTITUTE(B11,CHAR(10),""))-3)),VALUE(MID(SUBSTITUTE(B11,CHAR(10),""),FIND("Vties:",SUBSTITUTE(B11,CHAR(10),""))+6,99)))</f>
        <v>142</v>
      </c>
      <c r="N11" s="1">
        <f>SUM(VALUE(MID(SUBSTITUTE(C11,CHAR(10),""),FIND("V1:",SUBSTITUTE(C11,CHAR(10),""))+3,FIND("V2:",SUBSTITUTE(C11,CHAR(10),""))-FIND("V1:",SUBSTITUTE(C11,CHAR(10),""))-3)),VALUE(MID(SUBSTITUTE(C11,CHAR(10),""),FIND("V2:",SUBSTITUTE(C11,CHAR(10),""))+3,FIND("Vties:",SUBSTITUTE(C11,CHAR(10),""))-FIND("V2:",SUBSTITUTE(C11,CHAR(10),""))-3)),VALUE(MID(SUBSTITUTE(C11,CHAR(10),""),FIND("Vties:",SUBSTITUTE(C11,CHAR(10),""))+6,99)))</f>
        <v>142</v>
      </c>
      <c r="O11" s="1">
        <f>SUM(VALUE(MID(SUBSTITUTE(D11,CHAR(10),""),FIND("V1:",SUBSTITUTE(D11,CHAR(10),""))+3,FIND("V2:",SUBSTITUTE(D11,CHAR(10),""))-FIND("V1:",SUBSTITUTE(D11,CHAR(10),""))-3)),VALUE(MID(SUBSTITUTE(D11,CHAR(10),""),FIND("V2:",SUBSTITUTE(D11,CHAR(10),""))+3,FIND("Vties:",SUBSTITUTE(D11,CHAR(10),""))-FIND("V2:",SUBSTITUTE(D11,CHAR(10),""))-3)),VALUE(MID(SUBSTITUTE(D11,CHAR(10),""),FIND("Vties:",SUBSTITUTE(D11,CHAR(10),""))+6,99)))</f>
        <v>142</v>
      </c>
      <c r="P11" s="1">
        <f>SUM(VALUE(MID(SUBSTITUTE(E11,CHAR(10),""),FIND("V1:",SUBSTITUTE(E11,CHAR(10),""))+3,FIND("V2:",SUBSTITUTE(E11,CHAR(10),""))-FIND("V1:",SUBSTITUTE(E11,CHAR(10),""))-3)),VALUE(MID(SUBSTITUTE(E11,CHAR(10),""),FIND("V2:",SUBSTITUTE(E11,CHAR(10),""))+3,FIND("Vties:",SUBSTITUTE(E11,CHAR(10),""))-FIND("V2:",SUBSTITUTE(E11,CHAR(10),""))-3)),VALUE(MID(SUBSTITUTE(E11,CHAR(10),""),FIND("Vties:",SUBSTITUTE(E11,CHAR(10),""))+6,99)))</f>
        <v>142</v>
      </c>
      <c r="Q11" s="1">
        <f>SUM(VALUE(MID(SUBSTITUTE(F11,CHAR(10),""),FIND("V1:",SUBSTITUTE(F11,CHAR(10),""))+3,FIND("V2:",SUBSTITUTE(F11,CHAR(10),""))-FIND("V1:",SUBSTITUTE(F11,CHAR(10),""))-3)),VALUE(MID(SUBSTITUTE(F11,CHAR(10),""),FIND("V2:",SUBSTITUTE(F11,CHAR(10),""))+3,FIND("Vties:",SUBSTITUTE(F11,CHAR(10),""))-FIND("V2:",SUBSTITUTE(F11,CHAR(10),""))-3)),VALUE(MID(SUBSTITUTE(F11,CHAR(10),""),FIND("Vties:",SUBSTITUTE(F11,CHAR(10),""))+6,99)))</f>
        <v>142</v>
      </c>
      <c r="R11" s="1">
        <f>SUM(VALUE(MID(SUBSTITUTE(G11,CHAR(10),""),FIND("V1:",SUBSTITUTE(G11,CHAR(10),""))+3,FIND("V2:",SUBSTITUTE(G11,CHAR(10),""))-FIND("V1:",SUBSTITUTE(G11,CHAR(10),""))-3)),VALUE(MID(SUBSTITUTE(G11,CHAR(10),""),FIND("V2:",SUBSTITUTE(G11,CHAR(10),""))+3,FIND("Vties:",SUBSTITUTE(G11,CHAR(10),""))-FIND("V2:",SUBSTITUTE(G11,CHAR(10),""))-3)),VALUE(MID(SUBSTITUTE(G11,CHAR(10),""),FIND("Vties:",SUBSTITUTE(G11,CHAR(10),""))+6,99)))</f>
        <v>142</v>
      </c>
      <c r="S11" s="1">
        <f>SUM(VALUE(MID(SUBSTITUTE(H11,CHAR(10),""),FIND("V1:",SUBSTITUTE(H11,CHAR(10),""))+3,FIND("V2:",SUBSTITUTE(H11,CHAR(10),""))-FIND("V1:",SUBSTITUTE(H11,CHAR(10),""))-3)),VALUE(MID(SUBSTITUTE(H11,CHAR(10),""),FIND("V2:",SUBSTITUTE(H11,CHAR(10),""))+3,FIND("Vties:",SUBSTITUTE(H11,CHAR(10),""))-FIND("V2:",SUBSTITUTE(H11,CHAR(10),""))-3)),VALUE(MID(SUBSTITUTE(H11,CHAR(10),""),FIND("Vties:",SUBSTITUTE(H11,CHAR(10),""))+6,99)))</f>
        <v>142</v>
      </c>
      <c r="T11" s="1">
        <f>SUM(VALUE(MID(SUBSTITUTE(I11,CHAR(10),""),FIND("V1:",SUBSTITUTE(I11,CHAR(10),""))+3,FIND("V2:",SUBSTITUTE(I11,CHAR(10),""))-FIND("V1:",SUBSTITUTE(I11,CHAR(10),""))-3)),VALUE(MID(SUBSTITUTE(I11,CHAR(10),""),FIND("V2:",SUBSTITUTE(I11,CHAR(10),""))+3,FIND("Vties:",SUBSTITUTE(I11,CHAR(10),""))-FIND("V2:",SUBSTITUTE(I11,CHAR(10),""))-3)),VALUE(MID(SUBSTITUTE(I11,CHAR(10),""),FIND("Vties:",SUBSTITUTE(I11,CHAR(10),""))+6,99)))</f>
        <v>142</v>
      </c>
      <c r="U11" s="6"/>
      <c r="V11" s="6" t="e">
        <f>VALUE(SUBSTITUTE(MID(SUBSTITUTE(B11,CHAR(10),""),FIND("ASR:",SUBSTITUTE(B11,CHAR(10),""))+4,FIND("V1:",SUBSTITUTE(B11,CHAR(10),""))-FIND("ASR:",SUBSTITUTE(B11,CHAR(10),""))-4),".",","))</f>
        <v>#VALUE!</v>
      </c>
      <c r="W11" s="6" t="e">
        <f>VALUE(SUBSTITUTE(MID(SUBSTITUTE(C11,CHAR(10),""),FIND("ASR:",SUBSTITUTE(C11,CHAR(10),""))+4,FIND("V1:",SUBSTITUTE(C11,CHAR(10),""))-FIND("ASR:",SUBSTITUTE(C11,CHAR(10),""))-4),".",","))</f>
        <v>#VALUE!</v>
      </c>
      <c r="X11" s="6" t="e">
        <f>VALUE(SUBSTITUTE(MID(SUBSTITUTE(D11,CHAR(10),""),FIND("ASR:",SUBSTITUTE(D11,CHAR(10),""))+4,FIND("V1:",SUBSTITUTE(D11,CHAR(10),""))-FIND("ASR:",SUBSTITUTE(D11,CHAR(10),""))-4),".",","))</f>
        <v>#VALUE!</v>
      </c>
      <c r="Y11" s="6" t="e">
        <f>VALUE(SUBSTITUTE(MID(SUBSTITUTE(E11,CHAR(10),""),FIND("ASR:",SUBSTITUTE(E11,CHAR(10),""))+4,FIND("V1:",SUBSTITUTE(E11,CHAR(10),""))-FIND("ASR:",SUBSTITUTE(E11,CHAR(10),""))-4),".",","))</f>
        <v>#VALUE!</v>
      </c>
      <c r="Z11" s="6" t="e">
        <f>VALUE(SUBSTITUTE(MID(SUBSTITUTE(F11,CHAR(10),""),FIND("ASR:",SUBSTITUTE(F11,CHAR(10),""))+4,FIND("V1:",SUBSTITUTE(F11,CHAR(10),""))-FIND("ASR:",SUBSTITUTE(F11,CHAR(10),""))-4),".",","))</f>
        <v>#VALUE!</v>
      </c>
      <c r="AA11" s="6" t="e">
        <f>VALUE(SUBSTITUTE(MID(SUBSTITUTE(G11,CHAR(10),""),FIND("ASR:",SUBSTITUTE(G11,CHAR(10),""))+4,FIND("V1:",SUBSTITUTE(G11,CHAR(10),""))-FIND("ASR:",SUBSTITUTE(G11,CHAR(10),""))-4),".",","))</f>
        <v>#VALUE!</v>
      </c>
      <c r="AB11" s="6" t="e">
        <f>VALUE(SUBSTITUTE(MID(SUBSTITUTE(H11,CHAR(10),""),FIND("ASR:",SUBSTITUTE(H11,CHAR(10),""))+4,FIND("V1:",SUBSTITUTE(H11,CHAR(10),""))-FIND("ASR:",SUBSTITUTE(H11,CHAR(10),""))-4),".",","))</f>
        <v>#VALUE!</v>
      </c>
      <c r="AC11" s="6" t="e">
        <f>VALUE(SUBSTITUTE(MID(SUBSTITUTE(I11,CHAR(10),""),FIND("ASR:",SUBSTITUTE(I11,CHAR(10),""))+4,FIND("V1:",SUBSTITUTE(I11,CHAR(10),""))-FIND("ASR:",SUBSTITUTE(I11,CHAR(10),""))-4),".",","))</f>
        <v>#VALUE!</v>
      </c>
    </row>
    <row r="12" ht="28.5">
      <c r="A12" s="2" t="s">
        <v>100</v>
      </c>
      <c r="B12" s="1" t="s">
        <v>101</v>
      </c>
      <c r="C12" s="1" t="s">
        <v>102</v>
      </c>
      <c r="D12" s="1" t="s">
        <v>103</v>
      </c>
      <c r="E12" s="1" t="s">
        <v>104</v>
      </c>
      <c r="F12" s="1" t="s">
        <v>105</v>
      </c>
      <c r="G12" s="1" t="s">
        <v>106</v>
      </c>
      <c r="H12" s="1" t="s">
        <v>107</v>
      </c>
      <c r="I12" s="1" t="s">
        <v>108</v>
      </c>
      <c r="J12" s="1"/>
      <c r="K12" s="5" t="e">
        <f>AVERAGE(V12:AC12)</f>
        <v>#VALUE!</v>
      </c>
      <c r="L12" s="1"/>
      <c r="M12" s="1">
        <f>SUM(VALUE(MID(SUBSTITUTE(B12,CHAR(10),""),FIND("V1:",SUBSTITUTE(B12,CHAR(10),""))+3,FIND("V2:",SUBSTITUTE(B12,CHAR(10),""))-FIND("V1:",SUBSTITUTE(B12,CHAR(10),""))-3)),VALUE(MID(SUBSTITUTE(B12,CHAR(10),""),FIND("V2:",SUBSTITUTE(B12,CHAR(10),""))+3,FIND("Vties:",SUBSTITUTE(B12,CHAR(10),""))-FIND("V2:",SUBSTITUTE(B12,CHAR(10),""))-3)),VALUE(MID(SUBSTITUTE(B12,CHAR(10),""),FIND("Vties:",SUBSTITUTE(B12,CHAR(10),""))+6,99)))</f>
        <v>142</v>
      </c>
      <c r="N12" s="1">
        <f>SUM(VALUE(MID(SUBSTITUTE(C12,CHAR(10),""),FIND("V1:",SUBSTITUTE(C12,CHAR(10),""))+3,FIND("V2:",SUBSTITUTE(C12,CHAR(10),""))-FIND("V1:",SUBSTITUTE(C12,CHAR(10),""))-3)),VALUE(MID(SUBSTITUTE(C12,CHAR(10),""),FIND("V2:",SUBSTITUTE(C12,CHAR(10),""))+3,FIND("Vties:",SUBSTITUTE(C12,CHAR(10),""))-FIND("V2:",SUBSTITUTE(C12,CHAR(10),""))-3)),VALUE(MID(SUBSTITUTE(C12,CHAR(10),""),FIND("Vties:",SUBSTITUTE(C12,CHAR(10),""))+6,99)))</f>
        <v>142</v>
      </c>
      <c r="O12" s="1">
        <f>SUM(VALUE(MID(SUBSTITUTE(D12,CHAR(10),""),FIND("V1:",SUBSTITUTE(D12,CHAR(10),""))+3,FIND("V2:",SUBSTITUTE(D12,CHAR(10),""))-FIND("V1:",SUBSTITUTE(D12,CHAR(10),""))-3)),VALUE(MID(SUBSTITUTE(D12,CHAR(10),""),FIND("V2:",SUBSTITUTE(D12,CHAR(10),""))+3,FIND("Vties:",SUBSTITUTE(D12,CHAR(10),""))-FIND("V2:",SUBSTITUTE(D12,CHAR(10),""))-3)),VALUE(MID(SUBSTITUTE(D12,CHAR(10),""),FIND("Vties:",SUBSTITUTE(D12,CHAR(10),""))+6,99)))</f>
        <v>142</v>
      </c>
      <c r="P12" s="1">
        <f>SUM(VALUE(MID(SUBSTITUTE(E12,CHAR(10),""),FIND("V1:",SUBSTITUTE(E12,CHAR(10),""))+3,FIND("V2:",SUBSTITUTE(E12,CHAR(10),""))-FIND("V1:",SUBSTITUTE(E12,CHAR(10),""))-3)),VALUE(MID(SUBSTITUTE(E12,CHAR(10),""),FIND("V2:",SUBSTITUTE(E12,CHAR(10),""))+3,FIND("Vties:",SUBSTITUTE(E12,CHAR(10),""))-FIND("V2:",SUBSTITUTE(E12,CHAR(10),""))-3)),VALUE(MID(SUBSTITUTE(E12,CHAR(10),""),FIND("Vties:",SUBSTITUTE(E12,CHAR(10),""))+6,99)))</f>
        <v>142</v>
      </c>
      <c r="Q12" s="1">
        <f>SUM(VALUE(MID(SUBSTITUTE(F12,CHAR(10),""),FIND("V1:",SUBSTITUTE(F12,CHAR(10),""))+3,FIND("V2:",SUBSTITUTE(F12,CHAR(10),""))-FIND("V1:",SUBSTITUTE(F12,CHAR(10),""))-3)),VALUE(MID(SUBSTITUTE(F12,CHAR(10),""),FIND("V2:",SUBSTITUTE(F12,CHAR(10),""))+3,FIND("Vties:",SUBSTITUTE(F12,CHAR(10),""))-FIND("V2:",SUBSTITUTE(F12,CHAR(10),""))-3)),VALUE(MID(SUBSTITUTE(F12,CHAR(10),""),FIND("Vties:",SUBSTITUTE(F12,CHAR(10),""))+6,99)))</f>
        <v>142</v>
      </c>
      <c r="R12" s="1">
        <f>SUM(VALUE(MID(SUBSTITUTE(G12,CHAR(10),""),FIND("V1:",SUBSTITUTE(G12,CHAR(10),""))+3,FIND("V2:",SUBSTITUTE(G12,CHAR(10),""))-FIND("V1:",SUBSTITUTE(G12,CHAR(10),""))-3)),VALUE(MID(SUBSTITUTE(G12,CHAR(10),""),FIND("V2:",SUBSTITUTE(G12,CHAR(10),""))+3,FIND("Vties:",SUBSTITUTE(G12,CHAR(10),""))-FIND("V2:",SUBSTITUTE(G12,CHAR(10),""))-3)),VALUE(MID(SUBSTITUTE(G12,CHAR(10),""),FIND("Vties:",SUBSTITUTE(G12,CHAR(10),""))+6,99)))</f>
        <v>142</v>
      </c>
      <c r="S12" s="1">
        <f>SUM(VALUE(MID(SUBSTITUTE(H12,CHAR(10),""),FIND("V1:",SUBSTITUTE(H12,CHAR(10),""))+3,FIND("V2:",SUBSTITUTE(H12,CHAR(10),""))-FIND("V1:",SUBSTITUTE(H12,CHAR(10),""))-3)),VALUE(MID(SUBSTITUTE(H12,CHAR(10),""),FIND("V2:",SUBSTITUTE(H12,CHAR(10),""))+3,FIND("Vties:",SUBSTITUTE(H12,CHAR(10),""))-FIND("V2:",SUBSTITUTE(H12,CHAR(10),""))-3)),VALUE(MID(SUBSTITUTE(H12,CHAR(10),""),FIND("Vties:",SUBSTITUTE(H12,CHAR(10),""))+6,99)))</f>
        <v>142</v>
      </c>
      <c r="T12" s="1">
        <f>SUM(VALUE(MID(SUBSTITUTE(I12,CHAR(10),""),FIND("V1:",SUBSTITUTE(I12,CHAR(10),""))+3,FIND("V2:",SUBSTITUTE(I12,CHAR(10),""))-FIND("V1:",SUBSTITUTE(I12,CHAR(10),""))-3)),VALUE(MID(SUBSTITUTE(I12,CHAR(10),""),FIND("V2:",SUBSTITUTE(I12,CHAR(10),""))+3,FIND("Vties:",SUBSTITUTE(I12,CHAR(10),""))-FIND("V2:",SUBSTITUTE(I12,CHAR(10),""))-3)),VALUE(MID(SUBSTITUTE(I12,CHAR(10),""),FIND("Vties:",SUBSTITUTE(I12,CHAR(10),""))+6,99)))</f>
        <v>142</v>
      </c>
      <c r="U12" s="6"/>
      <c r="V12" s="6" t="e">
        <f>VALUE(SUBSTITUTE(MID(SUBSTITUTE(B12,CHAR(10),""),FIND("ASR:",SUBSTITUTE(B12,CHAR(10),""))+4,FIND("V1:",SUBSTITUTE(B12,CHAR(10),""))-FIND("ASR:",SUBSTITUTE(B12,CHAR(10),""))-4),".",","))</f>
        <v>#VALUE!</v>
      </c>
      <c r="W12" s="6" t="e">
        <f>VALUE(SUBSTITUTE(MID(SUBSTITUTE(C12,CHAR(10),""),FIND("ASR:",SUBSTITUTE(C12,CHAR(10),""))+4,FIND("V1:",SUBSTITUTE(C12,CHAR(10),""))-FIND("ASR:",SUBSTITUTE(C12,CHAR(10),""))-4),".",","))</f>
        <v>#VALUE!</v>
      </c>
      <c r="X12" s="6" t="e">
        <f>VALUE(SUBSTITUTE(MID(SUBSTITUTE(D12,CHAR(10),""),FIND("ASR:",SUBSTITUTE(D12,CHAR(10),""))+4,FIND("V1:",SUBSTITUTE(D12,CHAR(10),""))-FIND("ASR:",SUBSTITUTE(D12,CHAR(10),""))-4),".",","))</f>
        <v>#VALUE!</v>
      </c>
      <c r="Y12" s="6" t="e">
        <f>VALUE(SUBSTITUTE(MID(SUBSTITUTE(E12,CHAR(10),""),FIND("ASR:",SUBSTITUTE(E12,CHAR(10),""))+4,FIND("V1:",SUBSTITUTE(E12,CHAR(10),""))-FIND("ASR:",SUBSTITUTE(E12,CHAR(10),""))-4),".",","))</f>
        <v>#VALUE!</v>
      </c>
      <c r="Z12" s="6" t="e">
        <f>VALUE(SUBSTITUTE(MID(SUBSTITUTE(F12,CHAR(10),""),FIND("ASR:",SUBSTITUTE(F12,CHAR(10),""))+4,FIND("V1:",SUBSTITUTE(F12,CHAR(10),""))-FIND("ASR:",SUBSTITUTE(F12,CHAR(10),""))-4),".",","))</f>
        <v>#VALUE!</v>
      </c>
      <c r="AA12" s="6" t="e">
        <f>VALUE(SUBSTITUTE(MID(SUBSTITUTE(G12,CHAR(10),""),FIND("ASR:",SUBSTITUTE(G12,CHAR(10),""))+4,FIND("V1:",SUBSTITUTE(G12,CHAR(10),""))-FIND("ASR:",SUBSTITUTE(G12,CHAR(10),""))-4),".",","))</f>
        <v>#VALUE!</v>
      </c>
      <c r="AB12" s="6" t="e">
        <f>VALUE(SUBSTITUTE(MID(SUBSTITUTE(H12,CHAR(10),""),FIND("ASR:",SUBSTITUTE(H12,CHAR(10),""))+4,FIND("V1:",SUBSTITUTE(H12,CHAR(10),""))-FIND("ASR:",SUBSTITUTE(H12,CHAR(10),""))-4),".",","))</f>
        <v>#VALUE!</v>
      </c>
      <c r="AC12" s="6" t="e">
        <f>VALUE(SUBSTITUTE(MID(SUBSTITUTE(I12,CHAR(10),""),FIND("ASR:",SUBSTITUTE(I12,CHAR(10),""))+4,FIND("V1:",SUBSTITUTE(I12,CHAR(10),""))-FIND("ASR:",SUBSTITUTE(I12,CHAR(10),""))-4),".",","))</f>
        <v>#VALUE!</v>
      </c>
    </row>
  </sheetData>
  <sortState ref="A2:K12" columnSort="0">
    <sortCondition sortBy="value" descending="0" ref="K2:K12"/>
  </sortState>
  <conditionalFormatting sqref="M2">
    <cfRule type="colorScale" priority="4">
      <colorScale>
        <cfvo type="num" val="0"/>
        <cfvo type="percentile" val="71"/>
        <cfvo type="num" val="142"/>
        <color indexed="2"/>
        <color indexed="5"/>
        <color rgb="FF00B050"/>
      </colorScale>
    </cfRule>
  </conditionalFormatting>
  <conditionalFormatting sqref="M2:T12">
    <cfRule type="colorScale" priority="3">
      <colorScale>
        <cfvo type="num" val="0"/>
        <cfvo type="percentile" val="71"/>
        <cfvo type="num" val="142"/>
        <color indexed="2"/>
        <color indexed="5"/>
        <color rgb="FF92D050"/>
      </colorScale>
    </cfRule>
  </conditionalFormatting>
  <conditionalFormatting sqref="K2:K12">
    <cfRule type="colorScale" priority="2">
      <colorScale>
        <cfvo type="min" val="&quot;&quot;"/>
        <cfvo type="percentile" val="50"/>
        <cfvo type="max" val="&quot;&quot;"/>
        <color rgb="FFFFC000"/>
        <color indexed="5"/>
        <color rgb="FF92D050"/>
      </colorScale>
    </cfRule>
  </conditionalFormatting>
  <conditionalFormatting sqref="K2:K12">
    <cfRule type="colorScale" priority="1">
      <colorScale>
        <cfvo type="min" val="&quot;&quot;"/>
        <cfvo type="percentile" val="50"/>
        <cfvo type="max" val="&quot;&quot;"/>
        <color rgb="FF00B050"/>
        <color indexed="5"/>
        <color indexed="2"/>
      </colorScale>
    </cfRule>
  </conditionalFormatting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0" style="1" width="20.71093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2" t="s">
        <v>82</v>
      </c>
      <c r="B2" s="1" t="s">
        <v>109</v>
      </c>
      <c r="C2" s="1" t="s">
        <v>110</v>
      </c>
      <c r="D2" s="1" t="s">
        <v>111</v>
      </c>
      <c r="E2" s="1" t="s">
        <v>112</v>
      </c>
      <c r="F2" s="1" t="s">
        <v>113</v>
      </c>
      <c r="G2" s="1" t="s">
        <v>114</v>
      </c>
      <c r="H2" s="1" t="s">
        <v>115</v>
      </c>
      <c r="I2" s="1" t="s">
        <v>116</v>
      </c>
    </row>
    <row r="3">
      <c r="A3" s="2" t="s">
        <v>55</v>
      </c>
      <c r="B3" s="1" t="s">
        <v>117</v>
      </c>
      <c r="C3" s="1" t="s">
        <v>118</v>
      </c>
      <c r="D3" s="1" t="s">
        <v>119</v>
      </c>
      <c r="E3" s="1" t="s">
        <v>120</v>
      </c>
      <c r="F3" s="1" t="s">
        <v>121</v>
      </c>
      <c r="G3" s="1" t="s">
        <v>122</v>
      </c>
      <c r="H3" s="1" t="s">
        <v>123</v>
      </c>
      <c r="I3" s="1" t="s">
        <v>124</v>
      </c>
    </row>
    <row r="4">
      <c r="A4" s="2" t="s">
        <v>91</v>
      </c>
      <c r="B4" s="1" t="s">
        <v>125</v>
      </c>
      <c r="C4" s="1" t="s">
        <v>126</v>
      </c>
      <c r="D4" s="1" t="s">
        <v>127</v>
      </c>
      <c r="E4" s="1" t="s">
        <v>128</v>
      </c>
      <c r="F4" s="1" t="s">
        <v>129</v>
      </c>
      <c r="G4" s="1" t="s">
        <v>130</v>
      </c>
      <c r="H4" s="1" t="s">
        <v>131</v>
      </c>
      <c r="I4" s="1" t="s">
        <v>132</v>
      </c>
    </row>
    <row r="5">
      <c r="A5" s="2" t="s">
        <v>46</v>
      </c>
      <c r="B5" s="1" t="s">
        <v>120</v>
      </c>
      <c r="C5" s="1" t="s">
        <v>133</v>
      </c>
      <c r="D5" s="1" t="s">
        <v>134</v>
      </c>
      <c r="E5" s="1" t="s">
        <v>135</v>
      </c>
      <c r="F5" s="1" t="s">
        <v>136</v>
      </c>
      <c r="G5" s="1" t="s">
        <v>137</v>
      </c>
      <c r="H5" s="1" t="s">
        <v>138</v>
      </c>
      <c r="I5" s="1" t="s">
        <v>139</v>
      </c>
    </row>
    <row r="6">
      <c r="A6" s="2" t="s">
        <v>73</v>
      </c>
      <c r="B6" s="1" t="s">
        <v>140</v>
      </c>
      <c r="C6" s="1" t="s">
        <v>141</v>
      </c>
      <c r="D6" s="1" t="s">
        <v>142</v>
      </c>
      <c r="E6" s="1" t="s">
        <v>143</v>
      </c>
      <c r="F6" s="1" t="s">
        <v>144</v>
      </c>
      <c r="G6" s="1" t="s">
        <v>145</v>
      </c>
      <c r="H6" s="1" t="s">
        <v>146</v>
      </c>
      <c r="I6" s="1" t="s">
        <v>147</v>
      </c>
    </row>
    <row r="7">
      <c r="A7" s="2" t="s">
        <v>64</v>
      </c>
      <c r="B7" s="1" t="s">
        <v>148</v>
      </c>
      <c r="C7" s="1" t="s">
        <v>149</v>
      </c>
      <c r="D7" s="1" t="s">
        <v>150</v>
      </c>
      <c r="E7" s="1" t="s">
        <v>151</v>
      </c>
      <c r="F7" s="1" t="s">
        <v>152</v>
      </c>
      <c r="G7" s="1" t="s">
        <v>153</v>
      </c>
      <c r="H7" s="1" t="s">
        <v>154</v>
      </c>
      <c r="I7" s="1" t="s">
        <v>155</v>
      </c>
    </row>
    <row r="8">
      <c r="A8" s="2" t="s">
        <v>100</v>
      </c>
      <c r="B8" s="1" t="s">
        <v>156</v>
      </c>
      <c r="C8" s="1" t="s">
        <v>157</v>
      </c>
      <c r="D8" s="1" t="s">
        <v>158</v>
      </c>
      <c r="E8" s="1" t="s">
        <v>159</v>
      </c>
      <c r="F8" s="1" t="s">
        <v>160</v>
      </c>
      <c r="G8" s="1" t="s">
        <v>161</v>
      </c>
      <c r="H8" s="1" t="s">
        <v>162</v>
      </c>
      <c r="I8" s="1" t="s">
        <v>163</v>
      </c>
    </row>
    <row r="9">
      <c r="A9" s="2" t="s">
        <v>28</v>
      </c>
      <c r="B9" s="1" t="s">
        <v>164</v>
      </c>
      <c r="C9" s="1" t="s">
        <v>165</v>
      </c>
      <c r="D9" s="1" t="s">
        <v>166</v>
      </c>
      <c r="E9" s="1" t="s">
        <v>167</v>
      </c>
      <c r="F9" s="1" t="s">
        <v>168</v>
      </c>
      <c r="G9" s="1" t="s">
        <v>169</v>
      </c>
      <c r="H9" s="1" t="s">
        <v>170</v>
      </c>
      <c r="I9" s="1" t="s">
        <v>151</v>
      </c>
    </row>
    <row r="10">
      <c r="A10" s="2" t="s">
        <v>37</v>
      </c>
      <c r="B10" s="1" t="s">
        <v>156</v>
      </c>
      <c r="C10" s="1" t="s">
        <v>171</v>
      </c>
      <c r="D10" s="1" t="s">
        <v>172</v>
      </c>
      <c r="E10" s="1" t="s">
        <v>135</v>
      </c>
      <c r="F10" s="1" t="s">
        <v>173</v>
      </c>
      <c r="G10" s="1" t="s">
        <v>174</v>
      </c>
      <c r="H10" s="1" t="s">
        <v>175</v>
      </c>
      <c r="I10" s="1" t="s">
        <v>176</v>
      </c>
    </row>
    <row r="11">
      <c r="A11" s="2" t="s">
        <v>10</v>
      </c>
      <c r="B11" s="1" t="s">
        <v>177</v>
      </c>
      <c r="C11" s="1" t="s">
        <v>178</v>
      </c>
      <c r="D11" s="1" t="s">
        <v>179</v>
      </c>
      <c r="E11" s="1" t="s">
        <v>180</v>
      </c>
      <c r="F11" s="1" t="s">
        <v>181</v>
      </c>
      <c r="G11" s="1" t="s">
        <v>182</v>
      </c>
      <c r="H11" s="1" t="s">
        <v>183</v>
      </c>
      <c r="I11" s="1" t="s">
        <v>184</v>
      </c>
    </row>
    <row r="12">
      <c r="A12" s="2" t="s">
        <v>19</v>
      </c>
      <c r="B12" s="1" t="s">
        <v>185</v>
      </c>
      <c r="C12" s="1" t="s">
        <v>186</v>
      </c>
      <c r="D12" s="1" t="s">
        <v>187</v>
      </c>
      <c r="E12" s="1" t="s">
        <v>188</v>
      </c>
      <c r="F12" s="1" t="s">
        <v>189</v>
      </c>
      <c r="G12" s="1" t="s">
        <v>190</v>
      </c>
      <c r="H12" s="1" t="s">
        <v>191</v>
      </c>
      <c r="I12" s="1" t="s">
        <v>192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0" style="1" width="20.71093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2" t="s">
        <v>82</v>
      </c>
      <c r="B2" s="1" t="s">
        <v>193</v>
      </c>
      <c r="C2" s="1" t="s">
        <v>194</v>
      </c>
      <c r="D2" s="1" t="s">
        <v>195</v>
      </c>
      <c r="E2" s="1" t="s">
        <v>196</v>
      </c>
      <c r="F2" s="1" t="s">
        <v>197</v>
      </c>
      <c r="G2" s="1" t="s">
        <v>198</v>
      </c>
      <c r="H2" s="1" t="s">
        <v>199</v>
      </c>
      <c r="I2" s="1" t="s">
        <v>200</v>
      </c>
    </row>
    <row r="3">
      <c r="A3" s="2" t="s">
        <v>55</v>
      </c>
      <c r="B3" s="1" t="s">
        <v>201</v>
      </c>
      <c r="C3" s="1" t="s">
        <v>202</v>
      </c>
      <c r="D3" s="1" t="s">
        <v>203</v>
      </c>
      <c r="E3" s="1" t="s">
        <v>204</v>
      </c>
      <c r="F3" s="1" t="s">
        <v>205</v>
      </c>
      <c r="G3" s="1" t="s">
        <v>206</v>
      </c>
      <c r="H3" s="1" t="s">
        <v>207</v>
      </c>
      <c r="I3" s="1" t="s">
        <v>208</v>
      </c>
    </row>
    <row r="4">
      <c r="A4" s="2" t="s">
        <v>91</v>
      </c>
      <c r="B4" s="1" t="s">
        <v>209</v>
      </c>
      <c r="C4" s="1" t="s">
        <v>210</v>
      </c>
      <c r="D4" s="1" t="s">
        <v>211</v>
      </c>
      <c r="E4" s="1" t="s">
        <v>212</v>
      </c>
      <c r="F4" s="1" t="s">
        <v>213</v>
      </c>
      <c r="G4" s="1" t="s">
        <v>214</v>
      </c>
      <c r="H4" s="1" t="s">
        <v>215</v>
      </c>
      <c r="I4" s="1" t="s">
        <v>216</v>
      </c>
    </row>
    <row r="5">
      <c r="A5" s="2" t="s">
        <v>46</v>
      </c>
      <c r="B5" s="1" t="s">
        <v>217</v>
      </c>
      <c r="C5" s="1" t="s">
        <v>218</v>
      </c>
      <c r="D5" s="1" t="s">
        <v>219</v>
      </c>
      <c r="E5" s="1" t="s">
        <v>220</v>
      </c>
      <c r="F5" s="1" t="s">
        <v>221</v>
      </c>
      <c r="G5" s="1" t="s">
        <v>222</v>
      </c>
      <c r="H5" s="1" t="s">
        <v>223</v>
      </c>
      <c r="I5" s="1" t="s">
        <v>224</v>
      </c>
    </row>
    <row r="6">
      <c r="A6" s="2" t="s">
        <v>73</v>
      </c>
      <c r="B6" s="1" t="s">
        <v>225</v>
      </c>
      <c r="C6" s="1" t="s">
        <v>226</v>
      </c>
      <c r="D6" s="1" t="s">
        <v>227</v>
      </c>
      <c r="E6" s="1" t="s">
        <v>228</v>
      </c>
      <c r="F6" s="1" t="s">
        <v>229</v>
      </c>
      <c r="G6" s="1" t="s">
        <v>230</v>
      </c>
      <c r="H6" s="1" t="s">
        <v>231</v>
      </c>
      <c r="I6" s="1" t="s">
        <v>232</v>
      </c>
    </row>
    <row r="7">
      <c r="A7" s="2" t="s">
        <v>64</v>
      </c>
      <c r="B7" s="1" t="s">
        <v>233</v>
      </c>
      <c r="C7" s="1" t="s">
        <v>234</v>
      </c>
      <c r="D7" s="1" t="s">
        <v>235</v>
      </c>
      <c r="E7" s="1" t="s">
        <v>236</v>
      </c>
      <c r="F7" s="1" t="s">
        <v>237</v>
      </c>
      <c r="G7" s="1" t="s">
        <v>238</v>
      </c>
      <c r="H7" s="1" t="s">
        <v>239</v>
      </c>
      <c r="I7" s="1" t="s">
        <v>240</v>
      </c>
    </row>
    <row r="8">
      <c r="A8" s="2" t="s">
        <v>100</v>
      </c>
      <c r="B8" s="1" t="s">
        <v>241</v>
      </c>
      <c r="C8" s="1" t="s">
        <v>242</v>
      </c>
      <c r="D8" s="1" t="s">
        <v>243</v>
      </c>
      <c r="E8" s="1" t="s">
        <v>244</v>
      </c>
      <c r="F8" s="1" t="s">
        <v>245</v>
      </c>
      <c r="G8" s="1" t="s">
        <v>246</v>
      </c>
      <c r="H8" s="1" t="s">
        <v>247</v>
      </c>
      <c r="I8" s="1" t="s">
        <v>248</v>
      </c>
    </row>
    <row r="9">
      <c r="A9" s="2" t="s">
        <v>28</v>
      </c>
      <c r="B9" s="1" t="s">
        <v>249</v>
      </c>
      <c r="C9" s="1" t="s">
        <v>250</v>
      </c>
      <c r="D9" s="1" t="s">
        <v>251</v>
      </c>
      <c r="E9" s="1" t="s">
        <v>252</v>
      </c>
      <c r="F9" s="1" t="s">
        <v>253</v>
      </c>
      <c r="G9" s="1" t="s">
        <v>254</v>
      </c>
      <c r="H9" s="1" t="s">
        <v>255</v>
      </c>
      <c r="I9" s="1" t="s">
        <v>256</v>
      </c>
    </row>
    <row r="10">
      <c r="A10" s="2" t="s">
        <v>37</v>
      </c>
      <c r="B10" s="1" t="s">
        <v>257</v>
      </c>
      <c r="C10" s="1" t="s">
        <v>258</v>
      </c>
      <c r="D10" s="1" t="s">
        <v>259</v>
      </c>
      <c r="E10" s="1" t="s">
        <v>260</v>
      </c>
      <c r="F10" s="1" t="s">
        <v>261</v>
      </c>
      <c r="G10" s="1" t="s">
        <v>262</v>
      </c>
      <c r="H10" s="1" t="s">
        <v>263</v>
      </c>
      <c r="I10" s="1" t="s">
        <v>264</v>
      </c>
    </row>
    <row r="11">
      <c r="A11" s="2" t="s">
        <v>10</v>
      </c>
      <c r="B11" s="1" t="s">
        <v>265</v>
      </c>
      <c r="C11" s="1" t="s">
        <v>266</v>
      </c>
      <c r="D11" s="1" t="s">
        <v>267</v>
      </c>
      <c r="E11" s="1" t="s">
        <v>268</v>
      </c>
      <c r="F11" s="1" t="s">
        <v>269</v>
      </c>
      <c r="G11" s="1" t="s">
        <v>270</v>
      </c>
      <c r="H11" s="1" t="s">
        <v>271</v>
      </c>
      <c r="I11" s="1" t="s">
        <v>272</v>
      </c>
    </row>
    <row r="12">
      <c r="A12" s="2" t="s">
        <v>19</v>
      </c>
      <c r="B12" s="1" t="s">
        <v>273</v>
      </c>
      <c r="C12" s="1" t="s">
        <v>274</v>
      </c>
      <c r="D12" s="1" t="s">
        <v>275</v>
      </c>
      <c r="E12" s="1" t="s">
        <v>276</v>
      </c>
      <c r="F12" s="1" t="s">
        <v>277</v>
      </c>
      <c r="G12" s="1" t="s">
        <v>278</v>
      </c>
      <c r="H12" s="1" t="s">
        <v>279</v>
      </c>
      <c r="I12" s="1" t="s">
        <v>280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0" style="1" width="20.71093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2" t="s">
        <v>82</v>
      </c>
      <c r="B2" s="1" t="s">
        <v>281</v>
      </c>
      <c r="C2" s="1" t="s">
        <v>282</v>
      </c>
      <c r="D2" s="1" t="s">
        <v>283</v>
      </c>
      <c r="E2" s="1" t="s">
        <v>284</v>
      </c>
      <c r="F2" s="1" t="s">
        <v>285</v>
      </c>
      <c r="G2" s="1" t="s">
        <v>286</v>
      </c>
      <c r="H2" s="1" t="s">
        <v>287</v>
      </c>
      <c r="I2" s="1" t="s">
        <v>288</v>
      </c>
    </row>
    <row r="3">
      <c r="A3" s="2" t="s">
        <v>55</v>
      </c>
      <c r="B3" s="1" t="s">
        <v>289</v>
      </c>
      <c r="C3" s="1" t="s">
        <v>290</v>
      </c>
      <c r="D3" s="1" t="s">
        <v>291</v>
      </c>
      <c r="E3" s="1" t="s">
        <v>292</v>
      </c>
      <c r="F3" s="1" t="s">
        <v>293</v>
      </c>
      <c r="G3" s="1" t="s">
        <v>294</v>
      </c>
      <c r="H3" s="1" t="s">
        <v>295</v>
      </c>
      <c r="I3" s="1" t="s">
        <v>296</v>
      </c>
    </row>
    <row r="4">
      <c r="A4" s="2" t="s">
        <v>91</v>
      </c>
      <c r="B4" s="1" t="s">
        <v>297</v>
      </c>
      <c r="C4" s="1" t="s">
        <v>298</v>
      </c>
      <c r="D4" s="1" t="s">
        <v>299</v>
      </c>
      <c r="E4" s="1" t="s">
        <v>300</v>
      </c>
      <c r="F4" s="1" t="s">
        <v>301</v>
      </c>
      <c r="G4" s="1" t="s">
        <v>302</v>
      </c>
      <c r="H4" s="1" t="s">
        <v>303</v>
      </c>
      <c r="I4" s="1" t="s">
        <v>304</v>
      </c>
    </row>
    <row r="5">
      <c r="A5" s="2" t="s">
        <v>46</v>
      </c>
      <c r="B5" s="1" t="s">
        <v>305</v>
      </c>
      <c r="C5" s="1" t="s">
        <v>306</v>
      </c>
      <c r="D5" s="1" t="s">
        <v>307</v>
      </c>
      <c r="E5" s="1" t="s">
        <v>308</v>
      </c>
      <c r="F5" s="1" t="s">
        <v>309</v>
      </c>
      <c r="G5" s="1" t="s">
        <v>310</v>
      </c>
      <c r="H5" s="1" t="s">
        <v>311</v>
      </c>
      <c r="I5" s="1" t="s">
        <v>312</v>
      </c>
    </row>
    <row r="6">
      <c r="A6" s="2" t="s">
        <v>73</v>
      </c>
      <c r="B6" s="1" t="s">
        <v>313</v>
      </c>
      <c r="C6" s="1" t="s">
        <v>314</v>
      </c>
      <c r="D6" s="1" t="s">
        <v>315</v>
      </c>
      <c r="E6" s="1" t="s">
        <v>316</v>
      </c>
      <c r="F6" s="1" t="s">
        <v>317</v>
      </c>
      <c r="G6" s="1" t="s">
        <v>318</v>
      </c>
      <c r="H6" s="1" t="s">
        <v>319</v>
      </c>
      <c r="I6" s="1" t="s">
        <v>320</v>
      </c>
    </row>
    <row r="7">
      <c r="A7" s="2" t="s">
        <v>64</v>
      </c>
      <c r="B7" s="1" t="s">
        <v>321</v>
      </c>
      <c r="C7" s="1" t="s">
        <v>322</v>
      </c>
      <c r="D7" s="1" t="s">
        <v>323</v>
      </c>
      <c r="E7" s="1" t="s">
        <v>324</v>
      </c>
      <c r="F7" s="1" t="s">
        <v>325</v>
      </c>
      <c r="G7" s="1" t="s">
        <v>326</v>
      </c>
      <c r="H7" s="1" t="s">
        <v>327</v>
      </c>
      <c r="I7" s="1" t="s">
        <v>328</v>
      </c>
    </row>
    <row r="8">
      <c r="A8" s="2" t="s">
        <v>100</v>
      </c>
      <c r="B8" s="1" t="s">
        <v>329</v>
      </c>
      <c r="C8" s="1" t="s">
        <v>330</v>
      </c>
      <c r="D8" s="1" t="s">
        <v>331</v>
      </c>
      <c r="E8" s="1" t="s">
        <v>332</v>
      </c>
      <c r="F8" s="1" t="s">
        <v>333</v>
      </c>
      <c r="G8" s="1" t="s">
        <v>334</v>
      </c>
      <c r="H8" s="1" t="s">
        <v>335</v>
      </c>
      <c r="I8" s="1" t="s">
        <v>336</v>
      </c>
    </row>
    <row r="9">
      <c r="A9" s="2" t="s">
        <v>28</v>
      </c>
      <c r="B9" s="1" t="s">
        <v>337</v>
      </c>
      <c r="C9" s="1" t="s">
        <v>338</v>
      </c>
      <c r="D9" s="1" t="s">
        <v>339</v>
      </c>
      <c r="E9" s="1" t="s">
        <v>340</v>
      </c>
      <c r="F9" s="1" t="s">
        <v>341</v>
      </c>
      <c r="G9" s="1" t="s">
        <v>342</v>
      </c>
      <c r="H9" s="1" t="s">
        <v>343</v>
      </c>
      <c r="I9" s="1" t="s">
        <v>344</v>
      </c>
    </row>
    <row r="10">
      <c r="A10" s="2" t="s">
        <v>37</v>
      </c>
      <c r="B10" s="1" t="s">
        <v>345</v>
      </c>
      <c r="C10" s="1" t="s">
        <v>346</v>
      </c>
      <c r="D10" s="1" t="s">
        <v>347</v>
      </c>
      <c r="E10" s="1" t="s">
        <v>348</v>
      </c>
      <c r="F10" s="1" t="s">
        <v>349</v>
      </c>
      <c r="G10" s="1" t="s">
        <v>350</v>
      </c>
      <c r="H10" s="1" t="s">
        <v>351</v>
      </c>
      <c r="I10" s="1" t="s">
        <v>352</v>
      </c>
    </row>
    <row r="11">
      <c r="A11" s="2" t="s">
        <v>10</v>
      </c>
      <c r="B11" s="1" t="s">
        <v>353</v>
      </c>
      <c r="C11" s="1" t="s">
        <v>354</v>
      </c>
      <c r="D11" s="1" t="s">
        <v>355</v>
      </c>
      <c r="E11" s="1" t="s">
        <v>356</v>
      </c>
      <c r="F11" s="1" t="s">
        <v>357</v>
      </c>
      <c r="G11" s="1" t="s">
        <v>358</v>
      </c>
      <c r="H11" s="1" t="s">
        <v>359</v>
      </c>
      <c r="I11" s="1" t="s">
        <v>360</v>
      </c>
    </row>
    <row r="12">
      <c r="A12" s="2" t="s">
        <v>19</v>
      </c>
      <c r="B12" s="1" t="s">
        <v>361</v>
      </c>
      <c r="C12" s="1" t="s">
        <v>362</v>
      </c>
      <c r="D12" s="1" t="s">
        <v>363</v>
      </c>
      <c r="E12" s="1" t="s">
        <v>364</v>
      </c>
      <c r="F12" s="1" t="s">
        <v>365</v>
      </c>
      <c r="G12" s="1" t="s">
        <v>366</v>
      </c>
      <c r="H12" s="1" t="s">
        <v>367</v>
      </c>
      <c r="I12" s="1" t="s">
        <v>368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2026-01-06T10:35:43Z</dcterms:created>
  <dcterms:modified xsi:type="dcterms:W3CDTF">2026-01-06T20:49:13Z</dcterms:modified>
</cp:coreProperties>
</file>